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excel/"/>
    </mc:Choice>
  </mc:AlternateContent>
  <xr:revisionPtr revIDLastSave="299" documentId="8_{2BD4F78E-C3B2-44E9-9AF8-5B8D7ECFF9AB}" xr6:coauthVersionLast="47" xr6:coauthVersionMax="47" xr10:uidLastSave="{053FDEA8-D506-417D-BAB3-1ABECE9B91C9}"/>
  <bookViews>
    <workbookView xWindow="-108" yWindow="-108" windowWidth="23256" windowHeight="12456" firstSheet="2" activeTab="4" xr2:uid="{84F1A9F1-10C0-4E9E-B9C9-6CF1CD30E522}"/>
  </bookViews>
  <sheets>
    <sheet name="question1- text functions" sheetId="1" r:id="rId1"/>
    <sheet name="Question2-power query" sheetId="2" r:id="rId2"/>
    <sheet name="Question3-data cleaning" sheetId="3" r:id="rId3"/>
    <sheet name="Question4- text-to-columns" sheetId="5" r:id="rId4"/>
    <sheet name="Question5-what-if analysis" sheetId="6" r:id="rId5"/>
    <sheet name="Scenario Summary 2" sheetId="11" r:id="rId6"/>
  </sheets>
  <definedNames>
    <definedName name="ExternalData_1" localSheetId="1" hidden="1">'Question2-power query'!$A$8:$D$11</definedName>
    <definedName name="ExternalData_1" localSheetId="2" hidden="1">'Question3-data cleaning'!$G$1:$H$6</definedName>
    <definedName name="ExternalData_1" localSheetId="3" hidden="1">'Question4- text-to-columns'!#REF!</definedName>
    <definedName name="ExternalData_2" localSheetId="2" hidden="1">'Question3-data cleaning'!#REF!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  <c r="F3" i="5"/>
  <c r="I4" i="6"/>
  <c r="I3" i="6"/>
  <c r="I2" i="6"/>
  <c r="D2" i="6"/>
  <c r="D3" i="6"/>
  <c r="D4" i="6"/>
  <c r="I3" i="1"/>
  <c r="I4" i="1"/>
  <c r="I2" i="1"/>
  <c r="H3" i="1"/>
  <c r="H4" i="1"/>
  <c r="H2" i="1"/>
  <c r="G3" i="1"/>
  <c r="G4" i="1"/>
  <c r="G2" i="1"/>
  <c r="F4" i="1"/>
  <c r="F3" i="1"/>
  <c r="F2" i="1"/>
  <c r="E3" i="1"/>
  <c r="E4" i="1"/>
  <c r="E2" i="1"/>
  <c r="D3" i="1"/>
  <c r="D4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7783C-5B6B-4EDF-857C-1F8894DEE10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5E001AE5-AA70-49B5-9396-B382EBAF2119}" keepAlive="1" name="Query - Table35" description="Connection to the 'Table35' query in the workbook." type="5" refreshedVersion="0" background="1">
    <dbPr connection="Provider=Microsoft.Mashup.OleDb.1;Data Source=$Workbook$;Location=Table35;Extended Properties=&quot;&quot;" command="SELECT * FROM [Table35]"/>
  </connection>
  <connection id="3" xr16:uid="{9F10CD7C-A677-4256-A143-E8E6D2E217F6}" keepAlive="1" name="Query - Table35 (2)" description="Connection to the 'Table35 (2)' query in the workbook." type="5" refreshedVersion="0" background="1">
    <dbPr connection="Provider=Microsoft.Mashup.OleDb.1;Data Source=$Workbook$;Location=&quot;Table35 (2)&quot;;Extended Properties=&quot;&quot;" command="SELECT * FROM [Table35 (2)]"/>
  </connection>
  <connection id="4" xr16:uid="{ABF31441-0751-433B-A819-CD62AABA8D73}" keepAlive="1" name="Query - Table35 (3)" description="Connection to the 'Table35 (3)' query in the workbook." type="5" refreshedVersion="8" background="1" saveData="1">
    <dbPr connection="Provider=Microsoft.Mashup.OleDb.1;Data Source=$Workbook$;Location=&quot;Table35 (3)&quot;;Extended Properties=&quot;&quot;" command="SELECT * FROM [Table35 (3)]"/>
  </connection>
  <connection id="5" xr16:uid="{CFF97586-5DE7-4C91-9DA2-A608A335C5BD}" keepAlive="1" name="Query - Table35 (4)" description="Connection to the 'Table35 (4)' query in the workbook." type="5" refreshedVersion="0" background="1" saveData="1">
    <dbPr connection="Provider=Microsoft.Mashup.OleDb.1;Data Source=$Workbook$;Location=&quot;Table35 (4)&quot;;Extended Properties=&quot;&quot;" command="SELECT * FROM [Table35 (4)]"/>
  </connection>
  <connection id="6" xr16:uid="{78CE87B0-C170-4F38-8443-DECBA52CE000}" keepAlive="1" name="Query - Table6" description="Connection to the 'Table6' query in the workbook." type="5" refreshedVersion="0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<sst xmlns="http://schemas.openxmlformats.org/spreadsheetml/2006/main" count="92" uniqueCount="64">
  <si>
    <t>Full code</t>
  </si>
  <si>
    <t>Name</t>
  </si>
  <si>
    <t>EMP101HR</t>
  </si>
  <si>
    <t>Rahul Kumar</t>
  </si>
  <si>
    <t>Sneha Nair</t>
  </si>
  <si>
    <t>Q1-LEFT</t>
  </si>
  <si>
    <t>Q2-EMP NO.</t>
  </si>
  <si>
    <t>EMP102IT</t>
  </si>
  <si>
    <t>EMP103FIN</t>
  </si>
  <si>
    <t>Q3- DEP</t>
  </si>
  <si>
    <t>Q4-UPPER</t>
  </si>
  <si>
    <t>Q5-LOWER</t>
  </si>
  <si>
    <t>Q6-PROPER</t>
  </si>
  <si>
    <t>Rahul kumar</t>
  </si>
  <si>
    <t>Sneha nair</t>
  </si>
  <si>
    <t>Arjun das</t>
  </si>
  <si>
    <t>order id</t>
  </si>
  <si>
    <t xml:space="preserve">customer </t>
  </si>
  <si>
    <t>amount</t>
  </si>
  <si>
    <t>Ravi</t>
  </si>
  <si>
    <t>Anu</t>
  </si>
  <si>
    <t>Manu</t>
  </si>
  <si>
    <t>Total amount</t>
  </si>
  <si>
    <t>GST</t>
  </si>
  <si>
    <t>Student name</t>
  </si>
  <si>
    <t>marks</t>
  </si>
  <si>
    <t>Asha</t>
  </si>
  <si>
    <t>Rahul</t>
  </si>
  <si>
    <t>Neha</t>
  </si>
  <si>
    <t>Arjun</t>
  </si>
  <si>
    <t>Q- why data cleaning is important before analysis?</t>
  </si>
  <si>
    <t>A- Clean data is essential for accurate analytics</t>
  </si>
  <si>
    <t>Full name</t>
  </si>
  <si>
    <t>Phone number</t>
  </si>
  <si>
    <t>First name</t>
  </si>
  <si>
    <t>last name</t>
  </si>
  <si>
    <t>Kumar</t>
  </si>
  <si>
    <t>Sneha</t>
  </si>
  <si>
    <t>Nair</t>
  </si>
  <si>
    <t>emailId</t>
  </si>
  <si>
    <t>Rahul@gmail.com</t>
  </si>
  <si>
    <t>Sneha@gmail.com</t>
  </si>
  <si>
    <t>proper name</t>
  </si>
  <si>
    <t>Product</t>
  </si>
  <si>
    <t>cost price</t>
  </si>
  <si>
    <t>selling price</t>
  </si>
  <si>
    <t>A</t>
  </si>
  <si>
    <t>B</t>
  </si>
  <si>
    <t>C</t>
  </si>
  <si>
    <t>PROFIT</t>
  </si>
  <si>
    <t>$H$2</t>
  </si>
  <si>
    <t>Created by Keerthi M on 22-07-2026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</si>
  <si>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</si>
  <si>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</si>
  <si>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</si>
  <si>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</si>
  <si>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</si>
  <si>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</si>
  <si>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</si>
  <si>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$H$3</t>
  </si>
  <si>
    <t>$H$4</t>
  </si>
  <si>
    <t>$F$7</t>
  </si>
  <si>
    <t>High price</t>
  </si>
  <si>
    <t>Discount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</si>
</sst>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6"/>
      <color rgb="FF212529"/>
      <name val="Calibri 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vertical="center"/>
    </xf>
    <xf numFmtId="49" fontId="0" fillId="0" borderId="0" xfId="0" applyNumberFormat="1"/>
    <xf numFmtId="0" fontId="1" fillId="0" borderId="0" xfId="1"/>
    <xf numFmtId="0" fontId="0" fillId="0" borderId="2" xfId="0" applyBorder="1"/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4" xfId="0" applyBorder="1"/>
    <xf numFmtId="0" fontId="4" fillId="3" borderId="0" xfId="0" applyFont="1" applyFill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0" fontId="0" fillId="4" borderId="0" xfId="0" applyFill="1"/>
    <xf numFmtId="0" fontId="7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2D05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212529"/>
        <name val="Calibri 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FC7E1C-3654-4671-A962-87A36931B70B}" autoFormatId="16" applyNumberFormats="0" applyBorderFormats="0" applyFontFormats="0" applyPatternFormats="0" applyAlignmentFormats="0" applyWidthHeightFormats="0">
  <queryTableRefresh nextId="5">
    <queryTableFields count="4">
      <queryTableField id="1" name="order id" tableColumnId="1"/>
      <queryTableField id="2" name="customer " tableColumnId="2"/>
      <queryTableField id="3" name="Total amount" tableColumnId="3"/>
      <queryTableField id="4" name="G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44AAB9F-13AC-4056-AC7C-3BFFD61B5846}" autoFormatId="16" applyNumberFormats="0" applyBorderFormats="0" applyFontFormats="0" applyPatternFormats="0" applyAlignmentFormats="0" applyWidthHeightFormats="0">
  <queryTableRefresh nextId="3">
    <queryTableFields count="2">
      <queryTableField id="1" name="Student name" tableColumnId="1"/>
      <queryTableField id="2" name="marks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E27EDF-CC7E-40C3-AB31-FE5DBCD9C75B}" name="Table1" displayName="Table1" ref="A1:C4" totalsRowShown="0">
  <autoFilter ref="A1:C4" xr:uid="{A5E27EDF-CC7E-40C3-AB31-FE5DBCD9C75B}"/>
  <tableColumns count="3">
    <tableColumn id="1" xr3:uid="{A2BB6DFA-D720-4D73-9B20-6B9656CA5156}" name="order id"/>
    <tableColumn id="2" xr3:uid="{D014A3B0-A909-4F21-BACA-1E22D5F388E4}" name="customer "/>
    <tableColumn id="3" xr3:uid="{A5D6E275-ECF1-4F12-B27B-E17E7AF03EA0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4E5F88-00AD-44AC-842C-98A9BCD08C94}" name="Table1_1" displayName="Table1_1" ref="A8:D11" tableType="queryTable" totalsRowShown="0">
  <autoFilter ref="A8:D11" xr:uid="{8F4E5F88-00AD-44AC-842C-98A9BCD08C94}"/>
  <tableColumns count="4">
    <tableColumn id="1" xr3:uid="{96907D8E-F405-4F3E-8B2D-3BA74C7189E8}" uniqueName="1" name="order id" queryTableFieldId="1"/>
    <tableColumn id="2" xr3:uid="{B0E79D8C-8D0E-4246-B4E4-3ED668324D30}" uniqueName="2" name="customer " queryTableFieldId="2" dataDxfId="9"/>
    <tableColumn id="3" xr3:uid="{3DB0B1AA-A443-4AA8-9E96-E785F90D754F}" uniqueName="3" name="Total amount" queryTableFieldId="3"/>
    <tableColumn id="4" xr3:uid="{5EE20CE1-EE79-4401-A55E-FD3D810FF218}" uniqueName="4" name="GS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37A03A-4D11-4B1C-B27F-007FF92C8790}" name="Table3" displayName="Table3" ref="A1:B5" totalsRowShown="0">
  <autoFilter ref="A1:B5" xr:uid="{3937A03A-4D11-4B1C-B27F-007FF92C8790}"/>
  <tableColumns count="2">
    <tableColumn id="1" xr3:uid="{A2FF6D90-6563-48DD-A23F-02EABEA558C0}" name="Student name"/>
    <tableColumn id="2" xr3:uid="{180A065A-2A60-4080-9BE7-17154F0BD0C2}" name="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1656AC-FE84-4DCE-9DF9-BD18587234EE}" name="Table35" displayName="Table35" ref="D1:E6" totalsRowShown="0">
  <autoFilter ref="D1:E6" xr:uid="{4A1656AC-FE84-4DCE-9DF9-BD18587234EE}"/>
  <tableColumns count="2">
    <tableColumn id="1" xr3:uid="{51C8EB6A-7D28-403B-A997-4A8FF1DB975D}" name="Student name"/>
    <tableColumn id="2" xr3:uid="{DBF3EC84-EAAD-4F4D-B9C5-43E9A295A2A6}" name="mark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88B6AC-D0D4-4883-A18A-FB1DFBC62C80}" name="Table35__3" displayName="Table35__3" ref="G1:H6" tableType="queryTable" totalsRowShown="0">
  <autoFilter ref="G1:H6" xr:uid="{8688B6AC-D0D4-4883-A18A-FB1DFBC62C80}"/>
  <tableColumns count="2">
    <tableColumn id="1" xr3:uid="{11220AFA-E8B9-4998-8AAE-65AA07767156}" uniqueName="1" name="Student name" queryTableFieldId="1" dataDxfId="8"/>
    <tableColumn id="2" xr3:uid="{DE5C758F-54C2-436F-9D76-124C131C1B9A}" uniqueName="2" name="marks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31B1BA-FD8D-493C-865E-D137C0E8A66A}" name="Table6" displayName="Table6" ref="A1:F3" totalsRowShown="0">
  <autoFilter ref="A1:F3" xr:uid="{8F31B1BA-FD8D-493C-865E-D137C0E8A66A}"/>
  <tableColumns count="6">
    <tableColumn id="1" xr3:uid="{33749929-E8C6-4BB1-9CE6-A5014C34CA11}" name="Full name"/>
    <tableColumn id="2" xr3:uid="{2F35837E-3FF4-4058-A487-2291BDF39C66}" name="Phone number" dataDxfId="7"/>
    <tableColumn id="3" xr3:uid="{40FC8F84-D32D-4F71-8AC8-717AA65F5EFF}" name="First name" dataDxfId="6"/>
    <tableColumn id="4" xr3:uid="{98390F1B-2DED-4690-9C33-C644470452D0}" name="last name"/>
    <tableColumn id="5" xr3:uid="{D6702D85-BEE6-413E-B61A-EB5514FFD3ED}" name="emailId" dataDxfId="5">
      <calculatedColumnFormula>LOWER(Table6[[#This Row],[First name]]&amp;"@gmail.com")</calculatedColumnFormula>
    </tableColumn>
    <tableColumn id="6" xr3:uid="{89C2EEC6-97C8-4E14-92B0-341807BE19C6}" name="proper name" dataDxfId="4">
      <calculatedColumnFormula>Table6[[#This Row],[First name]]&amp;Table6[[#This Row],[last name]]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281152-A94D-4A0C-A424-28B023BE9688}" name="Table8" displayName="Table8" ref="A1:D4" totalsRowShown="0">
  <autoFilter ref="A1:D4" xr:uid="{73281152-A94D-4A0C-A424-28B023BE9688}"/>
  <tableColumns count="4">
    <tableColumn id="1" xr3:uid="{465FD5BC-958F-472F-BFD2-B91FAC041C6C}" name="Product"/>
    <tableColumn id="2" xr3:uid="{D93617A6-19B4-46FD-97AE-8235A39D7D14}" name="cost price"/>
    <tableColumn id="3" xr3:uid="{37B96BC8-9370-4CDD-8C6E-F0252B8C6733}" name="selling price"/>
    <tableColumn id="4" xr3:uid="{30B81C24-EB01-4B4F-9772-16F9F0879D81}" name="PROFIT" dataDxfId="3">
      <calculatedColumnFormula>Table8[[#This Row],[selling price]]-Table8[[#This Row],[cost price]]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759ADF9-7CD3-464E-987B-A787757DB9A2}" name="Table810" displayName="Table810" ref="F1:I4" totalsRowShown="0">
  <autoFilter ref="F1:I4" xr:uid="{2759ADF9-7CD3-464E-987B-A787757DB9A2}"/>
  <tableColumns count="4">
    <tableColumn id="1" xr3:uid="{24AE302F-FFDA-45A6-892B-C9CE2275743A}" name="Product"/>
    <tableColumn id="2" xr3:uid="{D52FFB33-1644-4311-9362-B78992608932}" name="cost price"/>
    <tableColumn id="3" xr3:uid="{49175E82-767B-4F7A-906F-871068109875}" name="selling price"/>
    <tableColumn id="4" xr3:uid="{CDBBC3F9-D3FC-4DDE-957F-F48DF7730AB4}" name="PROFIT" dataDxfId="2">
      <calculatedColumnFormula>Table810[[#This Row],[selling price]]-Table810[[#This Row],[cost 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hyperlink" Target="mailto:Sneha@gmail.com" TargetMode="External"/><Relationship Id="rId1" Type="http://schemas.openxmlformats.org/officeDocument/2006/relationships/hyperlink" Target="mailto:Rahul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494B-6C4F-4C4A-B9C1-BCF4C53BE32C}">
  <dimension ref="A1:I4"/>
  <sheetViews>
    <sheetView zoomScale="139" workbookViewId="0">
      <selection activeCell="B9" sqref="B9"/>
    </sheetView>
  </sheetViews>
  <sheetFormatPr defaultRowHeight="14.4"/>
  <cols>
    <col min="1" max="1" width="10.77734375" bestFit="1" customWidth="1"/>
    <col min="2" max="2" width="11.77734375" bestFit="1" customWidth="1"/>
    <col min="5" max="5" width="11.6640625" bestFit="1" customWidth="1"/>
    <col min="7" max="7" width="13.88671875" bestFit="1" customWidth="1"/>
    <col min="8" max="8" width="11.21875" bestFit="1" customWidth="1"/>
    <col min="9" max="9" width="10.77734375" bestFit="1" customWidth="1"/>
  </cols>
  <sheetData>
    <row r="1" spans="1:9">
      <c r="A1" t="s">
        <v>0</v>
      </c>
      <c r="B1" t="s">
        <v>1</v>
      </c>
      <c r="D1" t="s">
        <v>5</v>
      </c>
      <c r="E1" t="s">
        <v>6</v>
      </c>
      <c r="F1" t="s">
        <v>9</v>
      </c>
      <c r="G1" t="s">
        <v>10</v>
      </c>
      <c r="H1" t="s">
        <v>11</v>
      </c>
      <c r="I1" t="s">
        <v>12</v>
      </c>
    </row>
    <row r="2" spans="1:9">
      <c r="A2" t="s">
        <v>2</v>
      </c>
      <c r="B2" t="s">
        <v>13</v>
      </c>
      <c r="D2" t="str">
        <f>LEFT(A2,3)</f>
        <v>EMP</v>
      </c>
      <c r="E2" t="str">
        <f>MID(A2,4,3)</f>
        <v>101</v>
      </c>
      <c r="F2" t="str">
        <f>RIGHT(A2,2)</f>
        <v>HR</v>
      </c>
      <c r="G2" t="str">
        <f>UPPER(B2)</f>
        <v>RAHUL KUMAR</v>
      </c>
      <c r="H2" t="str">
        <f>LOWER(B2)</f>
        <v>rahul kumar</v>
      </c>
      <c r="I2" t="str">
        <f>PROPER(B2)</f>
        <v>Rahul Kumar</v>
      </c>
    </row>
    <row r="3" spans="1:9">
      <c r="A3" t="s">
        <v>7</v>
      </c>
      <c r="B3" t="s">
        <v>14</v>
      </c>
      <c r="D3" t="str">
        <f t="shared" ref="D3:D4" si="0">LEFT(A3,3)</f>
        <v>EMP</v>
      </c>
      <c r="E3" t="str">
        <f t="shared" ref="E3:E4" si="1">MID(A3,4,3)</f>
        <v>102</v>
      </c>
      <c r="F3" t="str">
        <f t="shared" ref="F3" si="2">RIGHT(A3,2)</f>
        <v>IT</v>
      </c>
      <c r="G3" t="str">
        <f t="shared" ref="G3:G4" si="3">UPPER(B3)</f>
        <v>SNEHA NAIR</v>
      </c>
      <c r="H3" t="str">
        <f t="shared" ref="H3:H4" si="4">LOWER(B3)</f>
        <v>sneha nair</v>
      </c>
      <c r="I3" t="str">
        <f t="shared" ref="I3:I4" si="5">PROPER(B3)</f>
        <v>Sneha Nair</v>
      </c>
    </row>
    <row r="4" spans="1:9">
      <c r="A4" t="s">
        <v>8</v>
      </c>
      <c r="B4" t="s">
        <v>15</v>
      </c>
      <c r="D4" t="str">
        <f t="shared" si="0"/>
        <v>EMP</v>
      </c>
      <c r="E4" t="str">
        <f t="shared" si="1"/>
        <v>103</v>
      </c>
      <c r="F4" t="str">
        <f>RIGHT(A4,3)</f>
        <v>FIN</v>
      </c>
      <c r="G4" t="str">
        <f t="shared" si="3"/>
        <v>ARJUN DAS</v>
      </c>
      <c r="H4" t="str">
        <f t="shared" si="4"/>
        <v>arjun das</v>
      </c>
      <c r="I4" t="str">
        <f t="shared" si="5"/>
        <v>Arjun Das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65D2-5EF5-48EE-8706-45DC6D2078AB}">
  <dimension ref="A1:D11"/>
  <sheetViews>
    <sheetView zoomScale="157" workbookViewId="0">
      <selection activeCell="D9" sqref="D9"/>
    </sheetView>
  </sheetViews>
  <sheetFormatPr defaultRowHeight="14.4"/>
  <cols>
    <col min="1" max="1" width="9.77734375" bestFit="1" customWidth="1"/>
    <col min="2" max="2" width="11.5546875" bestFit="1" customWidth="1"/>
    <col min="3" max="3" width="14.5546875" bestFit="1" customWidth="1"/>
    <col min="4" max="4" width="6.44140625" bestFit="1" customWidth="1"/>
  </cols>
  <sheetData>
    <row r="1" spans="1:4">
      <c r="A1" t="s">
        <v>16</v>
      </c>
      <c r="B1" t="s">
        <v>17</v>
      </c>
      <c r="C1" t="s">
        <v>18</v>
      </c>
    </row>
    <row r="2" spans="1:4">
      <c r="A2">
        <v>1001</v>
      </c>
      <c r="B2" t="s">
        <v>19</v>
      </c>
      <c r="C2">
        <v>5000</v>
      </c>
    </row>
    <row r="3" spans="1:4">
      <c r="A3">
        <v>1002</v>
      </c>
      <c r="B3" t="s">
        <v>20</v>
      </c>
      <c r="C3">
        <v>7000</v>
      </c>
    </row>
    <row r="4" spans="1:4">
      <c r="A4">
        <v>1003</v>
      </c>
      <c r="B4" t="s">
        <v>21</v>
      </c>
      <c r="C4">
        <v>6500</v>
      </c>
    </row>
    <row r="8" spans="1:4">
      <c r="A8" t="s">
        <v>16</v>
      </c>
      <c r="B8" t="s">
        <v>17</v>
      </c>
      <c r="C8" t="s">
        <v>22</v>
      </c>
      <c r="D8" t="s">
        <v>23</v>
      </c>
    </row>
    <row r="9" spans="1:4">
      <c r="A9">
        <v>1001</v>
      </c>
      <c r="B9" t="s">
        <v>19</v>
      </c>
      <c r="C9">
        <v>5000</v>
      </c>
      <c r="D9">
        <v>900</v>
      </c>
    </row>
    <row r="10" spans="1:4">
      <c r="A10">
        <v>1002</v>
      </c>
      <c r="B10" t="s">
        <v>20</v>
      </c>
      <c r="C10">
        <v>7000</v>
      </c>
      <c r="D10">
        <v>1260</v>
      </c>
    </row>
    <row r="11" spans="1:4">
      <c r="A11">
        <v>1003</v>
      </c>
      <c r="B11" t="s">
        <v>21</v>
      </c>
      <c r="C11">
        <v>6500</v>
      </c>
      <c r="D11">
        <v>1170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51A2-1C80-4FA7-84F3-C98B735BA6EA}">
  <dimension ref="A1:H11"/>
  <sheetViews>
    <sheetView zoomScale="141" workbookViewId="0">
      <selection activeCell="F11" sqref="F11"/>
    </sheetView>
  </sheetViews>
  <sheetFormatPr defaultRowHeight="14.4"/>
  <cols>
    <col min="1" max="1" width="13.44140625" customWidth="1"/>
    <col min="3" max="3" width="15.109375" bestFit="1" customWidth="1"/>
    <col min="4" max="4" width="8.33203125" bestFit="1" customWidth="1"/>
    <col min="7" max="7" width="15.109375" bestFit="1" customWidth="1"/>
    <col min="9" max="9" width="43.88671875" bestFit="1" customWidth="1"/>
  </cols>
  <sheetData>
    <row r="1" spans="1:8">
      <c r="A1" t="s">
        <v>24</v>
      </c>
      <c r="B1" t="s">
        <v>25</v>
      </c>
      <c r="D1" t="s">
        <v>24</v>
      </c>
      <c r="E1" t="s">
        <v>25</v>
      </c>
      <c r="G1" t="s">
        <v>24</v>
      </c>
      <c r="H1" t="s">
        <v>25</v>
      </c>
    </row>
    <row r="2" spans="1:8">
      <c r="A2" t="s">
        <v>26</v>
      </c>
      <c r="B2">
        <v>80</v>
      </c>
      <c r="D2" t="s">
        <v>26</v>
      </c>
      <c r="E2">
        <v>80</v>
      </c>
      <c r="G2" t="s">
        <v>26</v>
      </c>
      <c r="H2">
        <v>80</v>
      </c>
    </row>
    <row r="3" spans="1:8">
      <c r="A3" t="s">
        <v>27</v>
      </c>
      <c r="B3">
        <v>75</v>
      </c>
      <c r="D3" t="s">
        <v>27</v>
      </c>
      <c r="E3">
        <v>75</v>
      </c>
      <c r="G3" t="s">
        <v>27</v>
      </c>
      <c r="H3">
        <v>75</v>
      </c>
    </row>
    <row r="4" spans="1:8">
      <c r="A4" t="s">
        <v>28</v>
      </c>
      <c r="D4" t="s">
        <v>26</v>
      </c>
      <c r="E4">
        <v>80</v>
      </c>
      <c r="G4" t="s">
        <v>26</v>
      </c>
      <c r="H4">
        <v>80</v>
      </c>
    </row>
    <row r="5" spans="1:8">
      <c r="A5" t="s">
        <v>29</v>
      </c>
      <c r="B5">
        <v>90</v>
      </c>
      <c r="D5" t="s">
        <v>28</v>
      </c>
      <c r="G5" t="s">
        <v>28</v>
      </c>
      <c r="H5">
        <v>81.25</v>
      </c>
    </row>
    <row r="6" spans="1:8">
      <c r="D6" t="s">
        <v>29</v>
      </c>
      <c r="E6">
        <v>90</v>
      </c>
      <c r="G6" t="s">
        <v>29</v>
      </c>
      <c r="H6">
        <v>90</v>
      </c>
    </row>
    <row r="10" spans="1:8">
      <c r="G10" t="s">
        <v>30</v>
      </c>
    </row>
    <row r="11" spans="1:8">
      <c r="G11" t="s">
        <v>31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2BBE-652B-4147-9099-8E92D73938DB}">
  <dimension ref="A1:F3"/>
  <sheetViews>
    <sheetView zoomScale="140" workbookViewId="0">
      <selection activeCell="C7" sqref="C7"/>
    </sheetView>
  </sheetViews>
  <sheetFormatPr defaultRowHeight="14.4"/>
  <cols>
    <col min="1" max="1" width="11.6640625" bestFit="1" customWidth="1"/>
    <col min="2" max="2" width="15.88671875" bestFit="1" customWidth="1"/>
    <col min="3" max="3" width="14.109375" bestFit="1" customWidth="1"/>
    <col min="4" max="4" width="16.6640625" bestFit="1" customWidth="1"/>
    <col min="5" max="5" width="15.88671875" bestFit="1" customWidth="1"/>
    <col min="6" max="6" width="14.109375" bestFit="1" customWidth="1"/>
  </cols>
  <sheetData>
    <row r="1" spans="1:6">
      <c r="A1" t="s">
        <v>32</v>
      </c>
      <c r="B1" t="s">
        <v>33</v>
      </c>
      <c r="C1" t="s">
        <v>34</v>
      </c>
      <c r="D1" t="s">
        <v>35</v>
      </c>
      <c r="E1" t="s">
        <v>39</v>
      </c>
      <c r="F1" t="s">
        <v>42</v>
      </c>
    </row>
    <row r="2" spans="1:6">
      <c r="A2" t="s">
        <v>3</v>
      </c>
      <c r="B2" s="1">
        <v>9876543210</v>
      </c>
      <c r="C2" s="2" t="s">
        <v>27</v>
      </c>
      <c r="D2" t="s">
        <v>36</v>
      </c>
      <c r="E2" s="3" t="s">
        <v>40</v>
      </c>
      <c r="F2" t="str">
        <f>Table6[[#This Row],[First name]]&amp;Table6[[#This Row],[last name]]</f>
        <v>RahulKumar</v>
      </c>
    </row>
    <row r="3" spans="1:6">
      <c r="A3" t="s">
        <v>4</v>
      </c>
      <c r="B3" s="1">
        <v>9123456780</v>
      </c>
      <c r="C3" s="2" t="s">
        <v>37</v>
      </c>
      <c r="D3" t="s">
        <v>38</v>
      </c>
      <c r="E3" s="3" t="s">
        <v>41</v>
      </c>
      <c r="F3" t="str">
        <f>Table6[[#This Row],[First name]]&amp;Table6[[#This Row],[last name]]</f>
        <v>SnehaNair</v>
      </c>
    </row>
  </sheetData>
  <dataValidations count="1">
    <dataValidation type="whole" operator="equal" allowBlank="1" showInputMessage="1" showErrorMessage="1" errorTitle="error" error="invalid number" promptTitle="Phone number" prompt="only 10 digits are allowed" sqref="B1:B3" xr:uid="{E3593D69-1ED5-4C8D-816A-6C30B8DC2793}">
      <formula1>10</formula1>
    </dataValidation>
  </dataValidations>
  <hyperlinks>
    <hyperlink ref="E2" r:id="rId1" xr:uid="{05790E92-496E-456A-94B3-D6288BCEDBB2}"/>
    <hyperlink ref="E3" r:id="rId2" xr:uid="{C13C545C-FB30-4077-9F53-07B3C28F3977}"/>
  </hyperlinks>
  <pageMargins left="0.7" right="0.7" top="0.75" bottom="0.75" header="0.3" footer="0.3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08A5-19CB-485D-8664-ACF4FF1801AD}">
  <dimension ref="A1:I4"/>
  <sheetViews>
    <sheetView tabSelected="1" zoomScale="156" workbookViewId="0">
      <selection activeCell="E9" sqref="E9"/>
    </sheetView>
  </sheetViews>
  <sheetFormatPr defaultRowHeight="14.4"/>
  <cols>
    <col min="1" max="1" width="9.6640625" customWidth="1"/>
    <col min="2" max="2" width="11.21875" bestFit="1" customWidth="1"/>
    <col min="3" max="3" width="15.5546875" bestFit="1" customWidth="1"/>
    <col min="4" max="4" width="9.6640625" customWidth="1"/>
    <col min="7" max="7" width="11.21875" bestFit="1" customWidth="1"/>
    <col min="8" max="8" width="13" bestFit="1" customWidth="1"/>
  </cols>
  <sheetData>
    <row r="1" spans="1:9">
      <c r="A1" t="s">
        <v>43</v>
      </c>
      <c r="B1" t="s">
        <v>44</v>
      </c>
      <c r="C1" t="s">
        <v>45</v>
      </c>
      <c r="D1" t="s">
        <v>49</v>
      </c>
      <c r="F1" t="s">
        <v>43</v>
      </c>
      <c r="G1" t="s">
        <v>44</v>
      </c>
      <c r="H1" t="s">
        <v>45</v>
      </c>
      <c r="I1" t="s">
        <v>49</v>
      </c>
    </row>
    <row r="2" spans="1:9">
      <c r="A2" t="s">
        <v>46</v>
      </c>
      <c r="B2">
        <v>500</v>
      </c>
      <c r="C2">
        <v>650</v>
      </c>
      <c r="D2">
        <f>Table8[[#This Row],[selling price]]-Table8[[#This Row],[cost price]]</f>
        <v>150</v>
      </c>
      <c r="F2" t="s">
        <v>46</v>
      </c>
      <c r="G2">
        <v>500</v>
      </c>
      <c r="H2">
        <v>800</v>
      </c>
      <c r="I2">
        <f>Table810[[#This Row],[selling price]]-Table810[[#This Row],[cost price]]</f>
        <v>300</v>
      </c>
    </row>
    <row r="3" spans="1:9">
      <c r="A3" t="s">
        <v>47</v>
      </c>
      <c r="B3">
        <v>700</v>
      </c>
      <c r="C3">
        <v>850</v>
      </c>
      <c r="D3">
        <f>Table8[[#This Row],[selling price]]-Table8[[#This Row],[cost price]]</f>
        <v>150</v>
      </c>
      <c r="F3" t="s">
        <v>47</v>
      </c>
      <c r="G3">
        <v>700</v>
      </c>
      <c r="H3">
        <v>850</v>
      </c>
      <c r="I3">
        <f>Table810[[#This Row],[selling price]]-Table810[[#This Row],[cost price]]</f>
        <v>150</v>
      </c>
    </row>
    <row r="4" spans="1:9">
      <c r="A4" t="s">
        <v>48</v>
      </c>
      <c r="B4">
        <v>400</v>
      </c>
      <c r="C4">
        <v>550</v>
      </c>
      <c r="D4">
        <f>Table8[[#This Row],[selling price]]-Table8[[#This Row],[cost price]]</f>
        <v>150</v>
      </c>
      <c r="F4" t="s">
        <v>48</v>
      </c>
      <c r="G4">
        <v>400</v>
      </c>
      <c r="H4">
        <v>550</v>
      </c>
      <c r="I4">
        <f>Table810[[#This Row],[selling price]]-Table810[[#This Row],[cost price]]</f>
        <v>150</v>
      </c>
    </row>
  </sheetData>
  <scenarios current="0" sqref="F7">
    <scenario name="High price" locked="1" count="3" user="Keerthi M" comment="Created by Keerthi M on 22-07-2026">
      <inputCells r="H2" val="715"/>
      <inputCells r="H3" val="935"/>
      <inputCells r="H4" val="605"/>
    </scenario>
    <scenario name="Discount scenario" locked="1" count="3" user="Keerthi M" comment="Created by Keerthi M on 22-07-2026">
      <inputCells r="H2" val="585"/>
      <inputCells r="H3" val="765"/>
      <inputCells r="H4" val="595"/>
    </scenario>
  </scenarios>
  <conditionalFormatting sqref="D2:D4">
    <cfRule type="cellIs" dxfId="1" priority="5" operator="greaterThan">
      <formula>200</formula>
    </cfRule>
  </conditionalFormatting>
  <conditionalFormatting sqref="I2">
    <cfRule type="cellIs" dxfId="0" priority="1" operator="greaterThan">
      <formula>200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8459-5D80-41CA-81D7-8C7277860D8F}">
  <sheetPr>
    <outlinePr summaryBelow="0"/>
  </sheetPr>
  <dimension ref="B1:F13"/>
  <sheetViews>
    <sheetView showGridLines="0" workbookViewId="0"/>
  </sheetViews>
  <sheetFormatPr defaultRowHeight="14.4" outlineLevelRow="1" outlineLevelCol="1"/>
  <cols>
    <col min="3" max="3" width="5.21875" bestFit="1" customWidth="1"/>
    <col min="4" max="6" width="14.77734375" bestFit="1" customWidth="1" outlineLevel="1"/>
  </cols>
  <sheetData>
    <row r="1" spans="2:6" ht="15" thickBot="1"/>
    <row r="2" spans="2:6" ht="15.6">
      <c r="B2" s="6" t="s">
        <v>52</v>
      </c>
      <c r="C2" s="6"/>
      <c r="D2" s="11"/>
      <c r="E2" s="11"/>
      <c r="F2" s="11"/>
    </row>
    <row r="3" spans="2:6" ht="15.6" collapsed="1">
      <c r="B3" s="5"/>
      <c r="C3" s="5"/>
      <c r="D3" s="12" t="s">
        <v>54</v>
      </c>
      <c r="E3" s="12" t="s">
        <v>62</v>
      </c>
      <c r="F3" s="12" t="s">
        <v>63</v>
      </c>
    </row>
    <row r="4" spans="2:6" ht="20.399999999999999" hidden="1" outlineLevel="1">
      <c r="B4" s="8"/>
      <c r="C4" s="8"/>
      <c r="E4" s="14" t="s">
        <v>51</v>
      </c>
      <c r="F4" s="14" t="s">
        <v>51</v>
      </c>
    </row>
    <row r="5" spans="2:6">
      <c r="B5" s="9" t="s">
        <v>53</v>
      </c>
      <c r="C5" s="9"/>
      <c r="D5" s="7"/>
      <c r="E5" s="7"/>
      <c r="F5" s="7"/>
    </row>
    <row r="6" spans="2:6" outlineLevel="1">
      <c r="B6" s="8"/>
      <c r="C6" s="8" t="s">
        <v>50</v>
      </c>
      <c r="D6">
        <v>800</v>
      </c>
      <c r="E6" s="13">
        <v>715</v>
      </c>
      <c r="F6" s="13">
        <v>585</v>
      </c>
    </row>
    <row r="7" spans="2:6" outlineLevel="1">
      <c r="B7" s="8"/>
      <c r="C7" s="8" t="s">
        <v>59</v>
      </c>
      <c r="D7">
        <v>850</v>
      </c>
      <c r="E7" s="13">
        <v>935</v>
      </c>
      <c r="F7" s="13">
        <v>765</v>
      </c>
    </row>
    <row r="8" spans="2:6" outlineLevel="1">
      <c r="B8" s="8"/>
      <c r="C8" s="8" t="s">
        <v>60</v>
      </c>
      <c r="D8">
        <v>550</v>
      </c>
      <c r="E8" s="13">
        <v>605</v>
      </c>
      <c r="F8" s="13">
        <v>595</v>
      </c>
    </row>
    <row r="9" spans="2:6">
      <c r="B9" s="9" t="s">
        <v>55</v>
      </c>
      <c r="C9" s="9"/>
      <c r="D9" s="7"/>
      <c r="E9" s="7"/>
      <c r="F9" s="7"/>
    </row>
    <row r="10" spans="2:6" ht="15" outlineLevel="1" thickBot="1">
      <c r="B10" s="10"/>
      <c r="C10" s="10" t="s">
        <v>61</v>
      </c>
      <c r="D10" s="4"/>
      <c r="E10" s="4"/>
      <c r="F10" s="4"/>
    </row>
    <row r="11" spans="2:6">
      <c r="B11" t="s">
        <v>56</v>
      </c>
    </row>
    <row r="12" spans="2:6">
      <c r="B12" t="s">
        <v>57</v>
      </c>
    </row>
    <row r="13" spans="2:6">
      <c r="B13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6661E0-A541-40B6-92A1-69D7CD8702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question1- text functions</vt:lpstr>
      <vt:lpstr>Question2-power query</vt:lpstr>
      <vt:lpstr>Question3-data cleaning</vt:lpstr>
      <vt:lpstr>Question4- text-to-columns</vt:lpstr>
      <vt:lpstr>Question5-what-if analysis</vt:lpstr>
      <vt:lpstr>Scenario Summary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2026-07-22T11:28:54Z</dcterms:created>
  <dcterms:modified xsi:type="dcterms:W3CDTF">2026-07-22T15:07:16Z</dcterms:modified>
</cp:coreProperties>
</file>