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2" documentId="13_ncr:1_{20472C1B-3C4F-493F-9560-250098442C35}" xr6:coauthVersionLast="47" xr6:coauthVersionMax="47" xr10:uidLastSave="{8FAB86EC-F21B-46AF-AA23-C50626EF9AEA}"/>
  <bookViews>
    <workbookView xWindow="-108" yWindow="-108" windowWidth="23256" windowHeight="12456" firstSheet="3" activeTab="4" xr2:uid="{F28F10D1-F145-47BB-837F-7C3A5A7F4D81}"/>
  </bookViews>
  <sheets>
    <sheet name="Sheet1" sheetId="1" r:id="rId1"/>
    <sheet name="Sheet2" sheetId="2" r:id="rId2"/>
    <sheet name="Data_Analytics_Excel_Practice_D" sheetId="5" r:id="rId3"/>
    <sheet name="FUNCTIONS" sheetId="6" r:id="rId4"/>
    <sheet name="Sheet4" sheetId="7" r:id="rId5"/>
    <sheet name="sheet5" sheetId="8" r:id="rId6"/>
    <sheet name="Sheet6" sheetId="10" r:id="rId7"/>
  </sheets>
  <definedNames>
    <definedName name="ExternalData_1" localSheetId="2" hidden="1">Data_Analytics_Excel_Practice_D!$A$1:$F$51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7" l="1"/>
  <c r="E8" i="7"/>
  <c r="F8" i="7"/>
  <c r="G8" i="7"/>
  <c r="H8" i="7"/>
  <c r="I8" i="7"/>
  <c r="F7" i="7"/>
  <c r="E7" i="7"/>
  <c r="D7" i="7"/>
  <c r="F4" i="8"/>
  <c r="F5" i="8"/>
  <c r="F6" i="8"/>
  <c r="F3" i="8"/>
  <c r="F2" i="8"/>
  <c r="E4" i="8"/>
  <c r="E5" i="8"/>
  <c r="E6" i="8"/>
  <c r="E3" i="8"/>
  <c r="E2" i="8"/>
  <c r="C3" i="8"/>
  <c r="C4" i="8"/>
  <c r="C5" i="8"/>
  <c r="C6" i="8"/>
  <c r="C2" i="8"/>
  <c r="D3" i="8"/>
  <c r="D4" i="8"/>
  <c r="D5" i="8"/>
  <c r="D6" i="8"/>
  <c r="D2" i="8"/>
  <c r="A3" i="8"/>
  <c r="A4" i="8"/>
  <c r="A5" i="8"/>
  <c r="A6" i="8"/>
  <c r="A2" i="8"/>
  <c r="B3" i="8"/>
  <c r="B4" i="8"/>
  <c r="B5" i="8"/>
  <c r="B6" i="8"/>
  <c r="B2" i="8"/>
  <c r="I2" i="7"/>
  <c r="I3" i="7"/>
  <c r="I4" i="7"/>
  <c r="I5" i="7"/>
  <c r="I6" i="7"/>
  <c r="I7" i="7"/>
  <c r="H2" i="7"/>
  <c r="H3" i="7"/>
  <c r="H4" i="7"/>
  <c r="H5" i="7"/>
  <c r="H6" i="7"/>
  <c r="H7" i="7"/>
  <c r="G2" i="7"/>
  <c r="G3" i="7"/>
  <c r="G4" i="7"/>
  <c r="G5" i="7"/>
  <c r="G6" i="7"/>
  <c r="G7" i="7"/>
  <c r="F2" i="7"/>
  <c r="F3" i="7"/>
  <c r="F4" i="7"/>
  <c r="F5" i="7"/>
  <c r="F6" i="7"/>
  <c r="E2" i="7"/>
  <c r="E3" i="7"/>
  <c r="E4" i="7"/>
  <c r="E5" i="7"/>
  <c r="E6" i="7"/>
  <c r="D2" i="7"/>
  <c r="D3" i="7"/>
  <c r="D4" i="7"/>
  <c r="D5" i="7"/>
  <c r="D6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2" i="6"/>
  <c r="U2" i="6"/>
  <c r="T2" i="6"/>
  <c r="S2" i="6"/>
  <c r="R2" i="6"/>
  <c r="Q2" i="6"/>
  <c r="P2" i="6"/>
  <c r="O2" i="6"/>
  <c r="N2" i="6"/>
  <c r="M2" i="6"/>
  <c r="L2" i="6"/>
  <c r="K2" i="6"/>
  <c r="J2" i="6"/>
  <c r="I2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T2" i="5"/>
  <c r="S2" i="5"/>
  <c r="R2" i="5"/>
  <c r="Q2" i="5"/>
  <c r="P2" i="5"/>
  <c r="O2" i="5"/>
  <c r="N2" i="5"/>
  <c r="M2" i="5"/>
  <c r="L2" i="5"/>
  <c r="K2" i="5"/>
  <c r="J2" i="5"/>
  <c r="I2" i="5"/>
  <c r="H2" i="5"/>
  <c r="O8" i="2"/>
  <c r="R4" i="2"/>
  <c r="R3" i="2"/>
  <c r="R2" i="2"/>
  <c r="Q2" i="2"/>
  <c r="P2" i="2"/>
  <c r="O2" i="2"/>
  <c r="O4" i="2"/>
  <c r="O5" i="2"/>
  <c r="O6" i="2"/>
  <c r="O7" i="2"/>
  <c r="O3" i="2"/>
  <c r="N6" i="2"/>
  <c r="N5" i="2"/>
  <c r="N4" i="2"/>
  <c r="N3" i="2"/>
  <c r="N2" i="2"/>
  <c r="G7" i="2"/>
  <c r="G6" i="2"/>
  <c r="E2" i="2"/>
  <c r="E3" i="2"/>
  <c r="E4" i="2"/>
  <c r="E5" i="2"/>
  <c r="E6" i="2"/>
  <c r="K13" i="1"/>
  <c r="K11" i="1"/>
  <c r="G13" i="1"/>
  <c r="E13" i="1"/>
  <c r="C7" i="1"/>
  <c r="C5" i="1"/>
  <c r="C3" i="1"/>
  <c r="G5" i="2" l="1"/>
  <c r="E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53CCC2-3AFE-4106-886E-6240C4C28809}" keepAlive="1" name="Query - Data_Analytics_Excel_Practice_Dataset" description="Connection to the 'Data_Analytics_Excel_Practice_Dataset' query in the workbook." type="5" refreshedVersion="8" background="1" saveData="1">
    <dbPr connection="Provider=Microsoft.Mashup.OleDb.1;Data Source=$Workbook$;Location=Data_Analytics_Excel_Practice_Dataset;Extended Properties=&quot;&quot;" command="SELECT * FROM [Data_Analytics_Excel_Practice_Dataset]"/>
  </connection>
  <connection id="2" xr16:uid="{1DCC05CC-89C9-4222-8A4D-43BB77B961D6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3" xr16:uid="{59EE8B98-D48A-4891-84F7-ACB7374E04F4}" keepAlive="1" name="Query - Table2__2" description="Connection to the 'Table2__2' query in the workbook." type="5" refreshedVersion="0" background="1">
    <dbPr connection="Provider=Microsoft.Mashup.OleDb.1;Data Source=$Workbook$;Location=Table2__2;Extended Properties=&quot;&quot;" command="SELECT * FROM [Table2__2]"/>
  </connection>
</connections>
</file>

<file path=xl/sharedStrings.xml><?xml version="1.0" encoding="utf-8"?>
<sst xmlns="http://schemas.openxmlformats.org/spreadsheetml/2006/main" count="440" uniqueCount="117">
  <si>
    <t>Marks</t>
  </si>
  <si>
    <t>MEDIAN=</t>
  </si>
  <si>
    <t>MEAN=</t>
  </si>
  <si>
    <t>AVG=</t>
  </si>
  <si>
    <t>MODE=</t>
  </si>
  <si>
    <t>STD</t>
  </si>
  <si>
    <t>VAR</t>
  </si>
  <si>
    <t>STD=</t>
  </si>
  <si>
    <t>VAR=</t>
  </si>
  <si>
    <t>DATE</t>
  </si>
  <si>
    <t>PRODUCT</t>
  </si>
  <si>
    <t>QUANTITY</t>
  </si>
  <si>
    <t>AMOUNT</t>
  </si>
  <si>
    <t>BOOK</t>
  </si>
  <si>
    <t>PEN</t>
  </si>
  <si>
    <t>PENCIL</t>
  </si>
  <si>
    <t>ERASER</t>
  </si>
  <si>
    <t>SCALE</t>
  </si>
  <si>
    <t>Column1</t>
  </si>
  <si>
    <t>MAX=</t>
  </si>
  <si>
    <t>MIN=</t>
  </si>
  <si>
    <t>COUNT</t>
  </si>
  <si>
    <t>SUMIF</t>
  </si>
  <si>
    <t>COUNTIF</t>
  </si>
  <si>
    <t>AVERIF</t>
  </si>
  <si>
    <t>StudentID</t>
  </si>
  <si>
    <t>Name</t>
  </si>
  <si>
    <t>Course</t>
  </si>
  <si>
    <t>Batch</t>
  </si>
  <si>
    <t>Age</t>
  </si>
  <si>
    <t>Score</t>
  </si>
  <si>
    <t>Neha</t>
  </si>
  <si>
    <t>Excel</t>
  </si>
  <si>
    <t>A</t>
  </si>
  <si>
    <t>Kiran</t>
  </si>
  <si>
    <t>Data Analytics</t>
  </si>
  <si>
    <t>B</t>
  </si>
  <si>
    <t>Arun</t>
  </si>
  <si>
    <t>Python</t>
  </si>
  <si>
    <t>Anu</t>
  </si>
  <si>
    <t>Asha</t>
  </si>
  <si>
    <t>C</t>
  </si>
  <si>
    <t>Meera</t>
  </si>
  <si>
    <t>Diya</t>
  </si>
  <si>
    <t>Nikhil</t>
  </si>
  <si>
    <t>Vivek</t>
  </si>
  <si>
    <t>Rahul</t>
  </si>
  <si>
    <t>SUM</t>
  </si>
  <si>
    <t>MIN</t>
  </si>
  <si>
    <t>MAX</t>
  </si>
  <si>
    <t>AVR</t>
  </si>
  <si>
    <t>MEDIAN</t>
  </si>
  <si>
    <t>MODE</t>
  </si>
  <si>
    <t>AVRIF</t>
  </si>
  <si>
    <t>IF</t>
  </si>
  <si>
    <t>MED</t>
  </si>
  <si>
    <t>FULL NAME</t>
  </si>
  <si>
    <t>CITY</t>
  </si>
  <si>
    <t>PHN NO.</t>
  </si>
  <si>
    <t>KOLLAM</t>
  </si>
  <si>
    <t>KOCHI</t>
  </si>
  <si>
    <t>TRIVANDRUM</t>
  </si>
  <si>
    <t>KOZHIKODE</t>
  </si>
  <si>
    <t>ALAPPUZHA</t>
  </si>
  <si>
    <t>LEFT</t>
  </si>
  <si>
    <t>RIGHT</t>
  </si>
  <si>
    <t>MID</t>
  </si>
  <si>
    <t>lower</t>
  </si>
  <si>
    <t>UPPER</t>
  </si>
  <si>
    <t>PROPER</t>
  </si>
  <si>
    <t>FIRST NAME</t>
  </si>
  <si>
    <t>LAST NAME</t>
  </si>
  <si>
    <t>CITY CODE</t>
  </si>
  <si>
    <t>USERNAME</t>
  </si>
  <si>
    <t>PASSWORD</t>
  </si>
  <si>
    <t>KEERTHI M</t>
  </si>
  <si>
    <t>RIYA R S</t>
  </si>
  <si>
    <t>KIRAN M</t>
  </si>
  <si>
    <t>DHIYA E</t>
  </si>
  <si>
    <t>RAHUL M</t>
  </si>
  <si>
    <t>priya</t>
  </si>
  <si>
    <t>kayamkulam</t>
  </si>
  <si>
    <t>KEERTHI</t>
  </si>
  <si>
    <t>M</t>
  </si>
  <si>
    <t>KOLL</t>
  </si>
  <si>
    <t>KEERTHI_M</t>
  </si>
  <si>
    <t>KEERTHI4327</t>
  </si>
  <si>
    <t>RIYA</t>
  </si>
  <si>
    <t>R S</t>
  </si>
  <si>
    <t>KOCH</t>
  </si>
  <si>
    <t>RIYA_R S</t>
  </si>
  <si>
    <t>RIYA4762</t>
  </si>
  <si>
    <t>KIRAN</t>
  </si>
  <si>
    <t>TRIV</t>
  </si>
  <si>
    <t>KIRAN_M</t>
  </si>
  <si>
    <t>KIRAN4325</t>
  </si>
  <si>
    <t>DHIYA</t>
  </si>
  <si>
    <t>E</t>
  </si>
  <si>
    <t>KOZH</t>
  </si>
  <si>
    <t>DHIYA_E</t>
  </si>
  <si>
    <t>DHIYA1568</t>
  </si>
  <si>
    <t>RAHUL</t>
  </si>
  <si>
    <t>ALAP</t>
  </si>
  <si>
    <t>RAHUL_M</t>
  </si>
  <si>
    <t>RAHUL9841</t>
  </si>
  <si>
    <t>kaya</t>
  </si>
  <si>
    <t>priya3842</t>
  </si>
  <si>
    <t>SUJA S</t>
  </si>
  <si>
    <t>kollam</t>
  </si>
  <si>
    <t>SUJA</t>
  </si>
  <si>
    <t>S</t>
  </si>
  <si>
    <t>koll</t>
  </si>
  <si>
    <t>SUJA_S</t>
  </si>
  <si>
    <t>SUJA4122</t>
  </si>
  <si>
    <t>priya k</t>
  </si>
  <si>
    <t>k</t>
  </si>
  <si>
    <t>priya_k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</si>
</sst>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3" borderId="0" xfId="0" applyFont="1" applyFill="1"/>
    <xf numFmtId="0" fontId="1" fillId="4" borderId="1" xfId="0" applyFont="1" applyFill="1" applyBorder="1"/>
    <xf numFmtId="0" fontId="2" fillId="2" borderId="0" xfId="0" applyFont="1" applyFill="1"/>
    <xf numFmtId="14" fontId="2" fillId="3" borderId="0" xfId="0" applyNumberFormat="1" applyFont="1" applyFill="1"/>
    <xf numFmtId="14" fontId="2" fillId="2" borderId="0" xfId="0" applyNumberFormat="1" applyFont="1" applyFill="1"/>
    <xf numFmtId="0" fontId="1" fillId="4" borderId="0" xfId="0" applyFont="1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D42241-FCDA-4935-B451-4FE8271CAA8C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ID" tableColumnId="1"/>
      <queryTableField id="2" name="Name" tableColumnId="2"/>
      <queryTableField id="3" name="Course" tableColumnId="3"/>
      <queryTableField id="4" name="Batch" tableColumnId="4"/>
      <queryTableField id="5" name="Age" tableColumnId="5"/>
      <queryTableField id="6" name="Score" tableColumnId="6"/>
      <queryTableField id="7" dataBound="0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DA114-4906-436B-BF67-F60CC892D533}" name="Table1" displayName="Table1" ref="A1:E7" totalsRowCount="1">
  <autoFilter ref="A1:E6" xr:uid="{790DA114-4906-436B-BF67-F60CC892D533}"/>
  <tableColumns count="5">
    <tableColumn id="1" xr3:uid="{085BABB4-D2F0-4978-BF6B-D3EC6240FDCC}" name="DATE" dataDxfId="13" totalsRowDxfId="12"/>
    <tableColumn id="2" xr3:uid="{19E938DE-5B6E-4264-AEE5-8D8DC5D389EB}" name="PRODUCT"/>
    <tableColumn id="3" xr3:uid="{7C024EB5-3599-43FE-92D7-BF69A467C248}" name="QUANTITY"/>
    <tableColumn id="4" xr3:uid="{63C10374-B3B3-4F87-9284-D547F0065F60}" name="AMOUNT"/>
    <tableColumn id="5" xr3:uid="{9E9C548D-D6C1-495F-B1D7-9BA1F96116C6}" name="Column1" totalsRowFunction="custom" dataDxfId="11" totalsRowDxfId="10">
      <calculatedColumnFormula>(Table1[[#This Row],[QUANTITY]]*Table1[[#This Row],[AMOUNT]])</calculatedColumnFormula>
      <totalsRowFormula>SUM(Table1[Column1])</totalsRowFormula>
    </tableColumn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5CB43F-F0EE-411B-AB87-DBE5E248E68E}" name="Data_Analytics_Excel_Practice_Dataset" displayName="Data_Analytics_Excel_Practice_Dataset" ref="A1:G51" tableType="queryTable" totalsRowShown="0">
  <autoFilter ref="A1:G51" xr:uid="{435CB43F-F0EE-411B-AB87-DBE5E248E68E}"/>
  <tableColumns count="7">
    <tableColumn id="1" xr3:uid="{237FC82B-0017-4C84-9B02-741F6BDDF8D1}" uniqueName="1" name="StudentID" queryTableFieldId="1"/>
    <tableColumn id="2" xr3:uid="{371011B8-041A-43D8-8C78-CFF741A1E29E}" uniqueName="2" name="Name" queryTableFieldId="2" dataDxfId="9"/>
    <tableColumn id="3" xr3:uid="{02BC4CD8-B74D-4E39-B400-D9ACCDECB3E9}" uniqueName="3" name="Course" queryTableFieldId="3" dataDxfId="8"/>
    <tableColumn id="4" xr3:uid="{9A81D956-C638-4AA7-999A-1432D1ED658A}" uniqueName="4" name="Batch" queryTableFieldId="4" dataDxfId="7"/>
    <tableColumn id="5" xr3:uid="{CABD436E-EF69-478C-8611-5E3B59116DA5}" uniqueName="5" name="Age" queryTableFieldId="5"/>
    <tableColumn id="6" xr3:uid="{6D024065-2DE7-44D7-B71F-55787651BB72}" uniqueName="6" name="Score" queryTableFieldId="6"/>
    <tableColumn id="7" xr3:uid="{8BC469CA-21E2-4168-A8BB-C11502CB7784}" uniqueName="7" name="IF" queryTableFieldId="7" dataDxfId="6">
      <calculatedColumnFormula>IF(Data_Analytics_Excel_Practice_Dataset[[#This Row],[Score]]&gt;=60,"PASS","FAIL")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54F5A5-9A56-4C1E-BA13-07AB3D4A9319}" name="Table2" displayName="Table2" ref="A1:I8" totalsRowShown="0">
  <autoFilter ref="A1:I8" xr:uid="{0054F5A5-9A56-4C1E-BA13-07AB3D4A9319}"/>
  <tableColumns count="9">
    <tableColumn id="1" xr3:uid="{6AF10F3E-F2F2-420D-93D2-B5BF2E1E85DA}" name="FULL NAME"/>
    <tableColumn id="2" xr3:uid="{3CFF48F5-6C3C-4647-B773-69FD5D929CD8}" name="CITY"/>
    <tableColumn id="3" xr3:uid="{CB28AE9C-0C9D-4F26-977F-9F435ABD9DAB}" name="PHN NO."/>
    <tableColumn id="4" xr3:uid="{D54C7886-06DF-4C0C-BCAD-0A7863A9D5E8}" name="LEFT" dataDxfId="5">
      <calculatedColumnFormula>LEFT(Table2[[#This Row],[FULL NAME]],3)</calculatedColumnFormula>
    </tableColumn>
    <tableColumn id="5" xr3:uid="{A14C4984-0597-4628-91E1-B6956D524366}" name="RIGHT" dataDxfId="4">
      <calculatedColumnFormula>RIGHT(Table2[[#This Row],[FULL NAME]],4)</calculatedColumnFormula>
    </tableColumn>
    <tableColumn id="6" xr3:uid="{1776F3A1-79BD-4F63-8F89-CFA7C17CA500}" name="MID" dataDxfId="3">
      <calculatedColumnFormula>MID(Table2[[#This Row],[FULL NAME]],2,4)</calculatedColumnFormula>
    </tableColumn>
    <tableColumn id="7" xr3:uid="{D0697D02-808F-4BAE-9ECE-D6CEEC9883D1}" name="lower" dataDxfId="2">
      <calculatedColumnFormula>LOWER(Table2[[#This Row],[FULL NAME]])</calculatedColumnFormula>
    </tableColumn>
    <tableColumn id="8" xr3:uid="{03F95557-253B-4653-B2D7-66E4CC5377B2}" name="UPPER" dataDxfId="1">
      <calculatedColumnFormula>UPPER(Table2[[#This Row],[CITY]])</calculatedColumnFormula>
    </tableColumn>
    <tableColumn id="9" xr3:uid="{0BF3FC49-F2E9-4038-B406-F285FC4AA98E}" name="PROPER" dataDxfId="0">
      <calculatedColumnFormula>PROPER(Table2[[#This Row],[FULL NAME]])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CC0A4F-2985-4AFA-A819-891EFAF3C89C}" name="Table3" displayName="Table3" ref="A1:F6" totalsRowShown="0">
  <autoFilter ref="A1:F6" xr:uid="{E8CC0A4F-2985-4AFA-A819-891EFAF3C89C}"/>
  <tableColumns count="6">
    <tableColumn id="1" xr3:uid="{87054259-074B-47D4-9872-72D9D148AF01}" name="FIRST NAME">
      <calculatedColumnFormula>LEFT(Sheet4!A2, FIND(" ", Sheet4!A2) -1)</calculatedColumnFormula>
    </tableColumn>
    <tableColumn id="2" xr3:uid="{8A81A069-62F3-43AA-A396-8A2F13A612F4}" name="LAST NAME">
      <calculatedColumnFormula>RIGHT(Sheet4!A2, LEN(Sheet4!A2) - FIND(" ", Sheet4!A2))</calculatedColumnFormula>
    </tableColumn>
    <tableColumn id="3" xr3:uid="{2B6FE05F-65FC-4815-8EEB-EC7015722B99}" name="CITY CODE">
      <calculatedColumnFormula>LEFT(Sheet4!B2,3)</calculatedColumnFormula>
    </tableColumn>
    <tableColumn id="4" xr3:uid="{265860FA-25F3-46E5-8950-F4010A0BAA7C}" name="PHN NO.">
      <calculatedColumnFormula>Sheet4!C2</calculatedColumnFormula>
    </tableColumn>
    <tableColumn id="5" xr3:uid="{5D6E8DE4-FDEA-4690-8DE1-05DA30E34CC7}" name="USERNAME">
      <calculatedColumnFormula>_xlfn.CONCAT(A2, "_", B2)</calculatedColumnFormula>
    </tableColumn>
    <tableColumn id="6" xr3:uid="{A0CE3456-7F0B-4BC5-BD08-51910B77BF56}" name="PASSWORD">
      <calculatedColumnFormula>_xlfn.CONCAT(A2, RIGHT(D2,4))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158F91-2BC0-421C-A813-D9457BF30164}" name="Table2__2" displayName="Table2__2" ref="A1:F8" totalsRowShown="0">
  <autoFilter ref="A1:F8" xr:uid="{CA158F91-2BC0-421C-A813-D9457BF30164}"/>
  <tableColumns count="6">
    <tableColumn id="1" xr3:uid="{54FFCC49-639D-4539-B194-03513BCD520C}" name="FIRST NAME" dataDxfId="17"/>
    <tableColumn id="2" xr3:uid="{DE240051-3367-4528-8806-82910DAF77C5}" name="LAST NAME" dataDxfId="16"/>
    <tableColumn id="3" xr3:uid="{A8C3EDFE-98E0-4300-B012-15CDE34B4FE0}" name="CITY CODE" dataDxfId="15"/>
    <tableColumn id="4" xr3:uid="{9498EEA8-CA25-4437-A1A0-BBB53EFFED55}" name="PHN NO."/>
    <tableColumn id="5" xr3:uid="{8882B988-A7CE-40FF-BBCD-E6C1D0BC1394}" name="USERNAME" dataDxfId="14"/>
    <tableColumn id="6" xr3:uid="{782CF34C-A19F-4056-B44B-4115F24DDA5D}" name="PASSWOR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755E-0BE2-4704-93C1-6D4F8643CAC9}">
  <dimension ref="A1:K13"/>
  <sheetViews>
    <sheetView zoomScale="124" workbookViewId="0">
      <selection activeCell="M15" sqref="M15"/>
    </sheetView>
  </sheetViews>
  <sheetFormatPr defaultRowHeight="14.4" x14ac:dyDescent="0.3"/>
  <sheetData>
    <row r="1" spans="1:11" x14ac:dyDescent="0.3">
      <c r="A1" t="s">
        <v>0</v>
      </c>
      <c r="E1">
        <v>1</v>
      </c>
      <c r="G1">
        <v>11</v>
      </c>
      <c r="I1">
        <v>10</v>
      </c>
    </row>
    <row r="2" spans="1:11" x14ac:dyDescent="0.3">
      <c r="A2">
        <v>10</v>
      </c>
      <c r="E2">
        <v>2</v>
      </c>
      <c r="G2">
        <v>12</v>
      </c>
      <c r="I2">
        <v>20</v>
      </c>
    </row>
    <row r="3" spans="1:11" x14ac:dyDescent="0.3">
      <c r="A3">
        <v>55</v>
      </c>
      <c r="B3" t="s">
        <v>2</v>
      </c>
      <c r="C3">
        <f>(A2+A3+A4+A5+A6+A7+A8+A9+A10+A11)/10</f>
        <v>54.9</v>
      </c>
      <c r="E3">
        <v>3</v>
      </c>
      <c r="G3">
        <v>11</v>
      </c>
      <c r="I3">
        <v>30</v>
      </c>
    </row>
    <row r="4" spans="1:11" x14ac:dyDescent="0.3">
      <c r="A4">
        <v>25</v>
      </c>
      <c r="E4">
        <v>4</v>
      </c>
      <c r="G4">
        <v>10</v>
      </c>
      <c r="I4">
        <v>40</v>
      </c>
    </row>
    <row r="5" spans="1:11" x14ac:dyDescent="0.3">
      <c r="A5">
        <v>45</v>
      </c>
      <c r="B5" t="s">
        <v>3</v>
      </c>
      <c r="C5">
        <f>AVERAGE(A2:A11)</f>
        <v>54.9</v>
      </c>
      <c r="E5">
        <v>10</v>
      </c>
      <c r="G5">
        <v>9</v>
      </c>
      <c r="I5">
        <v>50</v>
      </c>
    </row>
    <row r="6" spans="1:11" x14ac:dyDescent="0.3">
      <c r="A6">
        <v>22</v>
      </c>
      <c r="E6">
        <v>11</v>
      </c>
      <c r="G6">
        <v>8</v>
      </c>
      <c r="I6">
        <v>60</v>
      </c>
    </row>
    <row r="7" spans="1:11" x14ac:dyDescent="0.3">
      <c r="A7">
        <v>85</v>
      </c>
      <c r="B7" t="s">
        <v>1</v>
      </c>
      <c r="C7">
        <f>MEDIAN(A2:A11)</f>
        <v>50</v>
      </c>
      <c r="E7">
        <v>7</v>
      </c>
      <c r="G7">
        <v>2</v>
      </c>
      <c r="I7">
        <v>70</v>
      </c>
    </row>
    <row r="8" spans="1:11" x14ac:dyDescent="0.3">
      <c r="A8">
        <v>80</v>
      </c>
      <c r="E8">
        <v>8</v>
      </c>
      <c r="G8">
        <v>1</v>
      </c>
      <c r="I8">
        <v>80</v>
      </c>
    </row>
    <row r="9" spans="1:11" x14ac:dyDescent="0.3">
      <c r="A9">
        <v>100</v>
      </c>
      <c r="E9">
        <v>9</v>
      </c>
      <c r="G9">
        <v>6</v>
      </c>
      <c r="I9">
        <v>90</v>
      </c>
    </row>
    <row r="10" spans="1:11" x14ac:dyDescent="0.3">
      <c r="A10">
        <v>99</v>
      </c>
      <c r="E10">
        <v>5</v>
      </c>
      <c r="G10">
        <v>7</v>
      </c>
      <c r="I10">
        <v>100</v>
      </c>
    </row>
    <row r="11" spans="1:11" x14ac:dyDescent="0.3">
      <c r="A11">
        <v>28</v>
      </c>
      <c r="E11">
        <v>6</v>
      </c>
      <c r="G11">
        <v>0</v>
      </c>
      <c r="J11" t="s">
        <v>7</v>
      </c>
      <c r="K11">
        <f>_xlfn.STDEV.S(I1:I10)</f>
        <v>30.276503540974915</v>
      </c>
    </row>
    <row r="13" spans="1:11" x14ac:dyDescent="0.3">
      <c r="D13" t="s">
        <v>1</v>
      </c>
      <c r="E13">
        <f>MEDIAN(E1:E11)</f>
        <v>6</v>
      </c>
      <c r="F13" t="s">
        <v>4</v>
      </c>
      <c r="G13">
        <f>MODE(G1:G11)</f>
        <v>11</v>
      </c>
      <c r="J13" t="s">
        <v>8</v>
      </c>
      <c r="K13">
        <f>_xlfn.VAR.S(I1:I10)</f>
        <v>916.66666666666663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69D8-FE1C-4511-AFD1-1AF09763B572}">
  <dimension ref="A1:R8"/>
  <sheetViews>
    <sheetView workbookViewId="0">
      <selection activeCell="Q9" sqref="Q9"/>
    </sheetView>
  </sheetViews>
  <sheetFormatPr defaultRowHeight="14.4" x14ac:dyDescent="0.3"/>
  <cols>
    <col min="1" max="1" width="10.33203125" bestFit="1" customWidth="1"/>
    <col min="2" max="2" width="11.109375" customWidth="1"/>
    <col min="3" max="3" width="11.6640625" customWidth="1"/>
    <col min="4" max="4" width="10.88671875" customWidth="1"/>
    <col min="10" max="10" width="10.33203125" bestFit="1" customWidth="1"/>
    <col min="14" max="14" width="8.5546875" bestFit="1" customWidth="1"/>
    <col min="15" max="15" width="13.5546875" bestFit="1" customWidth="1"/>
  </cols>
  <sheetData>
    <row r="1" spans="1:18" ht="15" thickBot="1" x14ac:dyDescent="0.35">
      <c r="A1" t="s">
        <v>9</v>
      </c>
      <c r="B1" t="s">
        <v>10</v>
      </c>
      <c r="C1" t="s">
        <v>11</v>
      </c>
      <c r="D1" t="s">
        <v>12</v>
      </c>
      <c r="E1" t="s">
        <v>18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18</v>
      </c>
      <c r="P1" s="7" t="s">
        <v>22</v>
      </c>
      <c r="Q1" s="7" t="s">
        <v>23</v>
      </c>
      <c r="R1" s="7" t="s">
        <v>24</v>
      </c>
    </row>
    <row r="2" spans="1:18" x14ac:dyDescent="0.3">
      <c r="A2" s="1">
        <v>46326</v>
      </c>
      <c r="B2" t="s">
        <v>13</v>
      </c>
      <c r="C2">
        <v>10</v>
      </c>
      <c r="D2">
        <v>320</v>
      </c>
      <c r="E2">
        <f>(Table1[[#This Row],[QUANTITY]]*Table1[[#This Row],[AMOUNT]])</f>
        <v>3200</v>
      </c>
      <c r="J2" s="5">
        <v>46326</v>
      </c>
      <c r="K2" s="2" t="s">
        <v>13</v>
      </c>
      <c r="L2" s="2">
        <v>10</v>
      </c>
      <c r="M2" s="2">
        <v>320</v>
      </c>
      <c r="N2" s="2">
        <f>(Table1[[#This Row],[QUANTITY]]*Table1[[#This Row],[AMOUNT]])</f>
        <v>3200</v>
      </c>
      <c r="O2" t="str">
        <f>IF(N2&gt;1000,"ACHIEVED","NOT ACHIEVED")</f>
        <v>ACHIEVED</v>
      </c>
      <c r="P2">
        <f>SUMIF(K2:K7,K3,N2:N7)</f>
        <v>4600</v>
      </c>
      <c r="Q2">
        <f>COUNTIF(K2:K7,K3)</f>
        <v>2</v>
      </c>
      <c r="R2">
        <f>AVERAGEIF(K2:K7,K3,N2:N7)</f>
        <v>2300</v>
      </c>
    </row>
    <row r="3" spans="1:18" x14ac:dyDescent="0.3">
      <c r="A3" s="1">
        <v>46288</v>
      </c>
      <c r="B3" t="s">
        <v>14</v>
      </c>
      <c r="C3">
        <v>22</v>
      </c>
      <c r="D3">
        <v>200</v>
      </c>
      <c r="E3">
        <f>(Table1[[#This Row],[QUANTITY]]*Table1[[#This Row],[AMOUNT]])</f>
        <v>4400</v>
      </c>
      <c r="J3" s="6">
        <v>46288</v>
      </c>
      <c r="K3" s="4" t="s">
        <v>14</v>
      </c>
      <c r="L3" s="4">
        <v>22</v>
      </c>
      <c r="M3" s="4">
        <v>200</v>
      </c>
      <c r="N3" s="4">
        <f>(Table1[[#This Row],[QUANTITY]]*Table1[[#This Row],[AMOUNT]])</f>
        <v>4400</v>
      </c>
      <c r="O3" t="str">
        <f>IF(N3&gt;1000,"ACHIEVED","NOT ACHIEVED")</f>
        <v>ACHIEVED</v>
      </c>
      <c r="R3">
        <f>AVERAGEIF(K2:K7,K5,N2:N7)</f>
        <v>18000</v>
      </c>
    </row>
    <row r="4" spans="1:18" x14ac:dyDescent="0.3">
      <c r="A4" s="1">
        <v>46217</v>
      </c>
      <c r="B4" t="s">
        <v>15</v>
      </c>
      <c r="C4">
        <v>50</v>
      </c>
      <c r="D4">
        <v>115</v>
      </c>
      <c r="E4">
        <f>(Table1[[#This Row],[QUANTITY]]*Table1[[#This Row],[AMOUNT]])</f>
        <v>5750</v>
      </c>
      <c r="J4" s="5">
        <v>46217</v>
      </c>
      <c r="K4" s="2" t="s">
        <v>15</v>
      </c>
      <c r="L4" s="2">
        <v>50</v>
      </c>
      <c r="M4" s="2">
        <v>115</v>
      </c>
      <c r="N4" s="2">
        <f>(Table1[[#This Row],[QUANTITY]]*Table1[[#This Row],[AMOUNT]])</f>
        <v>5750</v>
      </c>
      <c r="O4" t="str">
        <f t="shared" ref="O4:O8" si="0">IF(N4&gt;1000,"ACHIEVED","NOT ACHIEVED")</f>
        <v>ACHIEVED</v>
      </c>
      <c r="R4">
        <f>AVERAGEIF(K2:K8,K6,N2:N8)</f>
        <v>4550</v>
      </c>
    </row>
    <row r="5" spans="1:18" x14ac:dyDescent="0.3">
      <c r="A5" s="1">
        <v>46159</v>
      </c>
      <c r="B5" t="s">
        <v>16</v>
      </c>
      <c r="C5">
        <v>45</v>
      </c>
      <c r="D5">
        <v>400</v>
      </c>
      <c r="E5">
        <f>(Table1[[#This Row],[QUANTITY]]*Table1[[#This Row],[AMOUNT]])</f>
        <v>18000</v>
      </c>
      <c r="F5" t="s">
        <v>19</v>
      </c>
      <c r="G5">
        <f>MAX(Table1[Column1])</f>
        <v>18000</v>
      </c>
      <c r="J5" s="6">
        <v>46159</v>
      </c>
      <c r="K5" s="4" t="s">
        <v>16</v>
      </c>
      <c r="L5" s="4">
        <v>45</v>
      </c>
      <c r="M5" s="4">
        <v>400</v>
      </c>
      <c r="N5" s="4">
        <f>(Table1[[#This Row],[QUANTITY]]*Table1[[#This Row],[AMOUNT]])</f>
        <v>18000</v>
      </c>
      <c r="O5" t="str">
        <f t="shared" si="0"/>
        <v>ACHIEVED</v>
      </c>
    </row>
    <row r="6" spans="1:18" x14ac:dyDescent="0.3">
      <c r="A6" s="1">
        <v>46049</v>
      </c>
      <c r="B6" t="s">
        <v>17</v>
      </c>
      <c r="C6">
        <v>41</v>
      </c>
      <c r="D6">
        <v>100</v>
      </c>
      <c r="E6">
        <f>(Table1[[#This Row],[QUANTITY]]*Table1[[#This Row],[AMOUNT]])</f>
        <v>4100</v>
      </c>
      <c r="F6" t="s">
        <v>20</v>
      </c>
      <c r="G6">
        <f>MIN(Table1[Column1])</f>
        <v>3200</v>
      </c>
      <c r="J6" s="5">
        <v>46049</v>
      </c>
      <c r="K6" s="2" t="s">
        <v>17</v>
      </c>
      <c r="L6" s="2">
        <v>41</v>
      </c>
      <c r="M6" s="2">
        <v>100</v>
      </c>
      <c r="N6" s="2">
        <f>(Table1[[#This Row],[QUANTITY]]*Table1[[#This Row],[AMOUNT]])</f>
        <v>4100</v>
      </c>
      <c r="O6" t="str">
        <f t="shared" si="0"/>
        <v>ACHIEVED</v>
      </c>
    </row>
    <row r="7" spans="1:18" x14ac:dyDescent="0.3">
      <c r="A7" s="1"/>
      <c r="E7">
        <f>SUM(Table1[Column1])</f>
        <v>35450</v>
      </c>
      <c r="F7" t="s">
        <v>21</v>
      </c>
      <c r="G7">
        <f>COUNT(Table1[Column1])</f>
        <v>5</v>
      </c>
      <c r="J7" s="6">
        <v>46288</v>
      </c>
      <c r="K7" s="4" t="s">
        <v>14</v>
      </c>
      <c r="L7" s="4">
        <v>22</v>
      </c>
      <c r="M7" s="4">
        <v>200</v>
      </c>
      <c r="N7" s="4">
        <v>200</v>
      </c>
      <c r="O7" t="str">
        <f t="shared" si="0"/>
        <v>NOT ACHIEVED</v>
      </c>
    </row>
    <row r="8" spans="1:18" x14ac:dyDescent="0.3">
      <c r="J8" s="5">
        <v>46049</v>
      </c>
      <c r="K8" s="2" t="s">
        <v>17</v>
      </c>
      <c r="L8" s="2">
        <v>41</v>
      </c>
      <c r="M8" s="2">
        <v>100</v>
      </c>
      <c r="N8" s="2">
        <v>5000</v>
      </c>
      <c r="O8" t="str">
        <f t="shared" si="0"/>
        <v>ACHIEVED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2A07-4CCD-49AF-8CD5-BD110867CBB0}">
  <dimension ref="A1:T51"/>
  <sheetViews>
    <sheetView workbookViewId="0">
      <selection activeCell="M21" sqref="M21"/>
    </sheetView>
  </sheetViews>
  <sheetFormatPr defaultRowHeight="14.4" x14ac:dyDescent="0.3"/>
  <cols>
    <col min="1" max="1" width="11.6640625" bestFit="1" customWidth="1"/>
    <col min="2" max="2" width="8.21875" bestFit="1" customWidth="1"/>
    <col min="3" max="3" width="12.5546875" bestFit="1" customWidth="1"/>
    <col min="4" max="4" width="8" bestFit="1" customWidth="1"/>
    <col min="5" max="5" width="6.44140625" bestFit="1" customWidth="1"/>
    <col min="6" max="6" width="7.88671875" bestFit="1" customWidth="1"/>
    <col min="9" max="9" width="5.6640625" bestFit="1" customWidth="1"/>
    <col min="17" max="17" width="8.5546875" bestFit="1" customWidth="1"/>
  </cols>
  <sheetData>
    <row r="1" spans="1:20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54</v>
      </c>
      <c r="H1" t="s">
        <v>21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6</v>
      </c>
      <c r="P1" t="s">
        <v>5</v>
      </c>
      <c r="Q1" t="s">
        <v>23</v>
      </c>
      <c r="R1" t="s">
        <v>22</v>
      </c>
      <c r="S1" t="s">
        <v>53</v>
      </c>
      <c r="T1" t="s">
        <v>23</v>
      </c>
    </row>
    <row r="2" spans="1:20" x14ac:dyDescent="0.3">
      <c r="A2">
        <v>1</v>
      </c>
      <c r="B2" t="s">
        <v>31</v>
      </c>
      <c r="C2" t="s">
        <v>32</v>
      </c>
      <c r="D2" t="s">
        <v>33</v>
      </c>
      <c r="E2">
        <v>26</v>
      </c>
      <c r="F2">
        <v>57</v>
      </c>
      <c r="G2" t="str">
        <f>IF(Data_Analytics_Excel_Practice_Dataset[[#This Row],[Score]]&gt;=60,"PASS","FAIL")</f>
        <v>FAIL</v>
      </c>
      <c r="H2">
        <f>COUNT(Data_Analytics_Excel_Practice_Dataset[StudentID])</f>
        <v>50</v>
      </c>
      <c r="I2">
        <f>SUM(Data_Analytics_Excel_Practice_Dataset[Score])</f>
        <v>3795</v>
      </c>
      <c r="J2">
        <f>MIN(Data_Analytics_Excel_Practice_Dataset[Score])</f>
        <v>50</v>
      </c>
      <c r="K2">
        <f>MAX(Data_Analytics_Excel_Practice_Dataset[Score])</f>
        <v>100</v>
      </c>
      <c r="L2">
        <f>AVERAGE(Data_Analytics_Excel_Practice_Dataset[Score])</f>
        <v>75.900000000000006</v>
      </c>
      <c r="M2">
        <f>MEDIAN(Data_Analytics_Excel_Practice_Dataset[Score])</f>
        <v>77</v>
      </c>
      <c r="N2">
        <f>MODE(Data_Analytics_Excel_Practice_Dataset[Score])</f>
        <v>51</v>
      </c>
      <c r="O2">
        <f>_xlfn.VAR.S(Data_Analytics_Excel_Practice_Dataset[Score])</f>
        <v>251.39795918367346</v>
      </c>
      <c r="P2">
        <f>_xlfn.STDEV.S(Data_Analytics_Excel_Practice_Dataset[Score])</f>
        <v>15.855534023919644</v>
      </c>
      <c r="Q2">
        <f>COUNTIF(Data_Analytics_Excel_Practice_Dataset[Course],C4)</f>
        <v>17</v>
      </c>
      <c r="R2">
        <f>SUMIF(Data_Analytics_Excel_Practice_Dataset[Course],C3,Data_Analytics_Excel_Practice_Dataset[Score])</f>
        <v>1027</v>
      </c>
      <c r="S2">
        <f>AVERAGEIF(Data_Analytics_Excel_Practice_Dataset[Course],C5,Data_Analytics_Excel_Practice_Dataset[Score])</f>
        <v>75.400000000000006</v>
      </c>
      <c r="T2">
        <f>COUNTIF(Data_Analytics_Excel_Practice_Dataset[Batch],Data_Analytics_Excel_Practice_Dataset[[#This Row],[Batch]])</f>
        <v>16</v>
      </c>
    </row>
    <row r="3" spans="1:20" x14ac:dyDescent="0.3">
      <c r="A3">
        <v>2</v>
      </c>
      <c r="B3" t="s">
        <v>34</v>
      </c>
      <c r="C3" t="s">
        <v>35</v>
      </c>
      <c r="D3" t="s">
        <v>36</v>
      </c>
      <c r="E3">
        <v>30</v>
      </c>
      <c r="F3">
        <v>100</v>
      </c>
      <c r="G3" t="str">
        <f>IF(Data_Analytics_Excel_Practice_Dataset[[#This Row],[Score]]&gt;=60,"PASS","FAIL")</f>
        <v>PASS</v>
      </c>
    </row>
    <row r="4" spans="1:20" x14ac:dyDescent="0.3">
      <c r="A4">
        <v>3</v>
      </c>
      <c r="B4" t="s">
        <v>37</v>
      </c>
      <c r="C4" t="s">
        <v>38</v>
      </c>
      <c r="D4" t="s">
        <v>36</v>
      </c>
      <c r="E4">
        <v>18</v>
      </c>
      <c r="F4">
        <v>74</v>
      </c>
      <c r="G4" t="str">
        <f>IF(Data_Analytics_Excel_Practice_Dataset[[#This Row],[Score]]&gt;=60,"PASS","FAIL")</f>
        <v>PASS</v>
      </c>
    </row>
    <row r="5" spans="1:20" x14ac:dyDescent="0.3">
      <c r="A5">
        <v>4</v>
      </c>
      <c r="B5" t="s">
        <v>39</v>
      </c>
      <c r="C5" t="s">
        <v>32</v>
      </c>
      <c r="D5" t="s">
        <v>33</v>
      </c>
      <c r="E5">
        <v>32</v>
      </c>
      <c r="F5">
        <v>67</v>
      </c>
      <c r="G5" t="str">
        <f>IF(Data_Analytics_Excel_Practice_Dataset[[#This Row],[Score]]&gt;=60,"PASS","FAIL")</f>
        <v>PASS</v>
      </c>
    </row>
    <row r="6" spans="1:20" x14ac:dyDescent="0.3">
      <c r="A6">
        <v>5</v>
      </c>
      <c r="B6" t="s">
        <v>37</v>
      </c>
      <c r="C6" t="s">
        <v>32</v>
      </c>
      <c r="D6" t="s">
        <v>33</v>
      </c>
      <c r="E6">
        <v>28</v>
      </c>
      <c r="F6">
        <v>51</v>
      </c>
      <c r="G6" t="str">
        <f>IF(Data_Analytics_Excel_Practice_Dataset[[#This Row],[Score]]&gt;=60,"PASS","FAIL")</f>
        <v>FAIL</v>
      </c>
    </row>
    <row r="7" spans="1:20" x14ac:dyDescent="0.3">
      <c r="A7">
        <v>6</v>
      </c>
      <c r="B7" t="s">
        <v>40</v>
      </c>
      <c r="C7" t="s">
        <v>38</v>
      </c>
      <c r="D7" t="s">
        <v>41</v>
      </c>
      <c r="E7">
        <v>35</v>
      </c>
      <c r="F7">
        <v>50</v>
      </c>
      <c r="G7" t="str">
        <f>IF(Data_Analytics_Excel_Practice_Dataset[[#This Row],[Score]]&gt;=60,"PASS","FAIL")</f>
        <v>FAIL</v>
      </c>
    </row>
    <row r="8" spans="1:20" x14ac:dyDescent="0.3">
      <c r="A8">
        <v>7</v>
      </c>
      <c r="B8" t="s">
        <v>39</v>
      </c>
      <c r="C8" t="s">
        <v>32</v>
      </c>
      <c r="D8" t="s">
        <v>33</v>
      </c>
      <c r="E8">
        <v>31</v>
      </c>
      <c r="F8">
        <v>96</v>
      </c>
      <c r="G8" t="str">
        <f>IF(Data_Analytics_Excel_Practice_Dataset[[#This Row],[Score]]&gt;=60,"PASS","FAIL")</f>
        <v>PASS</v>
      </c>
    </row>
    <row r="9" spans="1:20" x14ac:dyDescent="0.3">
      <c r="A9">
        <v>8</v>
      </c>
      <c r="B9" t="s">
        <v>40</v>
      </c>
      <c r="C9" t="s">
        <v>32</v>
      </c>
      <c r="D9" t="s">
        <v>33</v>
      </c>
      <c r="E9">
        <v>32</v>
      </c>
      <c r="F9">
        <v>81</v>
      </c>
      <c r="G9" t="str">
        <f>IF(Data_Analytics_Excel_Practice_Dataset[[#This Row],[Score]]&gt;=60,"PASS","FAIL")</f>
        <v>PASS</v>
      </c>
    </row>
    <row r="10" spans="1:20" x14ac:dyDescent="0.3">
      <c r="A10">
        <v>9</v>
      </c>
      <c r="B10" t="s">
        <v>42</v>
      </c>
      <c r="C10" t="s">
        <v>38</v>
      </c>
      <c r="D10" t="s">
        <v>36</v>
      </c>
      <c r="E10">
        <v>25</v>
      </c>
      <c r="F10">
        <v>93</v>
      </c>
      <c r="G10" t="str">
        <f>IF(Data_Analytics_Excel_Practice_Dataset[[#This Row],[Score]]&gt;=60,"PASS","FAIL")</f>
        <v>PASS</v>
      </c>
    </row>
    <row r="11" spans="1:20" x14ac:dyDescent="0.3">
      <c r="A11">
        <v>10</v>
      </c>
      <c r="B11" t="s">
        <v>37</v>
      </c>
      <c r="C11" t="s">
        <v>35</v>
      </c>
      <c r="D11" t="s">
        <v>36</v>
      </c>
      <c r="E11">
        <v>18</v>
      </c>
      <c r="F11">
        <v>76</v>
      </c>
      <c r="G11" t="str">
        <f>IF(Data_Analytics_Excel_Practice_Dataset[[#This Row],[Score]]&gt;=60,"PASS","FAIL")</f>
        <v>PASS</v>
      </c>
    </row>
    <row r="12" spans="1:20" x14ac:dyDescent="0.3">
      <c r="A12">
        <v>11</v>
      </c>
      <c r="B12" t="s">
        <v>42</v>
      </c>
      <c r="C12" t="s">
        <v>32</v>
      </c>
      <c r="D12" t="s">
        <v>33</v>
      </c>
      <c r="E12">
        <v>23</v>
      </c>
      <c r="F12">
        <v>90</v>
      </c>
      <c r="G12" t="str">
        <f>IF(Data_Analytics_Excel_Practice_Dataset[[#This Row],[Score]]&gt;=60,"PASS","FAIL")</f>
        <v>PASS</v>
      </c>
    </row>
    <row r="13" spans="1:20" x14ac:dyDescent="0.3">
      <c r="A13">
        <v>12</v>
      </c>
      <c r="B13" t="s">
        <v>43</v>
      </c>
      <c r="C13" t="s">
        <v>38</v>
      </c>
      <c r="D13" t="s">
        <v>41</v>
      </c>
      <c r="E13">
        <v>28</v>
      </c>
      <c r="F13">
        <v>96</v>
      </c>
      <c r="G13" t="str">
        <f>IF(Data_Analytics_Excel_Practice_Dataset[[#This Row],[Score]]&gt;=60,"PASS","FAIL")</f>
        <v>PASS</v>
      </c>
    </row>
    <row r="14" spans="1:20" x14ac:dyDescent="0.3">
      <c r="A14">
        <v>13</v>
      </c>
      <c r="B14" t="s">
        <v>42</v>
      </c>
      <c r="C14" t="s">
        <v>35</v>
      </c>
      <c r="D14" t="s">
        <v>41</v>
      </c>
      <c r="E14">
        <v>24</v>
      </c>
      <c r="F14">
        <v>69</v>
      </c>
      <c r="G14" t="str">
        <f>IF(Data_Analytics_Excel_Practice_Dataset[[#This Row],[Score]]&gt;=60,"PASS","FAIL")</f>
        <v>PASS</v>
      </c>
    </row>
    <row r="15" spans="1:20" x14ac:dyDescent="0.3">
      <c r="A15">
        <v>14</v>
      </c>
      <c r="B15" t="s">
        <v>43</v>
      </c>
      <c r="C15" t="s">
        <v>32</v>
      </c>
      <c r="D15" t="s">
        <v>36</v>
      </c>
      <c r="E15">
        <v>34</v>
      </c>
      <c r="F15">
        <v>75</v>
      </c>
      <c r="G15" t="str">
        <f>IF(Data_Analytics_Excel_Practice_Dataset[[#This Row],[Score]]&gt;=60,"PASS","FAIL")</f>
        <v>PASS</v>
      </c>
    </row>
    <row r="16" spans="1:20" x14ac:dyDescent="0.3">
      <c r="A16">
        <v>15</v>
      </c>
      <c r="B16" t="s">
        <v>44</v>
      </c>
      <c r="C16" t="s">
        <v>38</v>
      </c>
      <c r="D16" t="s">
        <v>36</v>
      </c>
      <c r="E16">
        <v>25</v>
      </c>
      <c r="F16">
        <v>97</v>
      </c>
      <c r="G16" t="str">
        <f>IF(Data_Analytics_Excel_Practice_Dataset[[#This Row],[Score]]&gt;=60,"PASS","FAIL")</f>
        <v>PASS</v>
      </c>
    </row>
    <row r="17" spans="1:7" x14ac:dyDescent="0.3">
      <c r="A17">
        <v>16</v>
      </c>
      <c r="B17" t="s">
        <v>39</v>
      </c>
      <c r="C17" t="s">
        <v>35</v>
      </c>
      <c r="D17" t="s">
        <v>41</v>
      </c>
      <c r="E17">
        <v>23</v>
      </c>
      <c r="F17">
        <v>73</v>
      </c>
      <c r="G17" t="str">
        <f>IF(Data_Analytics_Excel_Practice_Dataset[[#This Row],[Score]]&gt;=60,"PASS","FAIL")</f>
        <v>PASS</v>
      </c>
    </row>
    <row r="18" spans="1:7" x14ac:dyDescent="0.3">
      <c r="A18">
        <v>17</v>
      </c>
      <c r="B18" t="s">
        <v>42</v>
      </c>
      <c r="C18" t="s">
        <v>32</v>
      </c>
      <c r="D18" t="s">
        <v>41</v>
      </c>
      <c r="E18">
        <v>29</v>
      </c>
      <c r="F18">
        <v>55</v>
      </c>
      <c r="G18" t="str">
        <f>IF(Data_Analytics_Excel_Practice_Dataset[[#This Row],[Score]]&gt;=60,"PASS","FAIL")</f>
        <v>FAIL</v>
      </c>
    </row>
    <row r="19" spans="1:7" x14ac:dyDescent="0.3">
      <c r="A19">
        <v>18</v>
      </c>
      <c r="B19" t="s">
        <v>34</v>
      </c>
      <c r="C19" t="s">
        <v>32</v>
      </c>
      <c r="D19" t="s">
        <v>41</v>
      </c>
      <c r="E19">
        <v>21</v>
      </c>
      <c r="F19">
        <v>99</v>
      </c>
      <c r="G19" t="str">
        <f>IF(Data_Analytics_Excel_Practice_Dataset[[#This Row],[Score]]&gt;=60,"PASS","FAIL")</f>
        <v>PASS</v>
      </c>
    </row>
    <row r="20" spans="1:7" x14ac:dyDescent="0.3">
      <c r="A20">
        <v>19</v>
      </c>
      <c r="B20" t="s">
        <v>31</v>
      </c>
      <c r="C20" t="s">
        <v>32</v>
      </c>
      <c r="D20" t="s">
        <v>36</v>
      </c>
      <c r="E20">
        <v>29</v>
      </c>
      <c r="F20">
        <v>81</v>
      </c>
      <c r="G20" t="str">
        <f>IF(Data_Analytics_Excel_Practice_Dataset[[#This Row],[Score]]&gt;=60,"PASS","FAIL")</f>
        <v>PASS</v>
      </c>
    </row>
    <row r="21" spans="1:7" x14ac:dyDescent="0.3">
      <c r="A21">
        <v>20</v>
      </c>
      <c r="B21" t="s">
        <v>40</v>
      </c>
      <c r="C21" t="s">
        <v>35</v>
      </c>
      <c r="D21" t="s">
        <v>33</v>
      </c>
      <c r="E21">
        <v>27</v>
      </c>
      <c r="F21">
        <v>95</v>
      </c>
      <c r="G21" t="str">
        <f>IF(Data_Analytics_Excel_Practice_Dataset[[#This Row],[Score]]&gt;=60,"PASS","FAIL")</f>
        <v>PASS</v>
      </c>
    </row>
    <row r="22" spans="1:7" x14ac:dyDescent="0.3">
      <c r="A22">
        <v>21</v>
      </c>
      <c r="B22" t="s">
        <v>44</v>
      </c>
      <c r="C22" t="s">
        <v>32</v>
      </c>
      <c r="D22" t="s">
        <v>41</v>
      </c>
      <c r="E22">
        <v>30</v>
      </c>
      <c r="F22">
        <v>91</v>
      </c>
      <c r="G22" t="str">
        <f>IF(Data_Analytics_Excel_Practice_Dataset[[#This Row],[Score]]&gt;=60,"PASS","FAIL")</f>
        <v>PASS</v>
      </c>
    </row>
    <row r="23" spans="1:7" x14ac:dyDescent="0.3">
      <c r="A23">
        <v>22</v>
      </c>
      <c r="B23" t="s">
        <v>31</v>
      </c>
      <c r="C23" t="s">
        <v>38</v>
      </c>
      <c r="D23" t="s">
        <v>41</v>
      </c>
      <c r="E23">
        <v>25</v>
      </c>
      <c r="F23">
        <v>50</v>
      </c>
      <c r="G23" t="str">
        <f>IF(Data_Analytics_Excel_Practice_Dataset[[#This Row],[Score]]&gt;=60,"PASS","FAIL")</f>
        <v>FAIL</v>
      </c>
    </row>
    <row r="24" spans="1:7" x14ac:dyDescent="0.3">
      <c r="A24">
        <v>23</v>
      </c>
      <c r="B24" t="s">
        <v>37</v>
      </c>
      <c r="C24" t="s">
        <v>32</v>
      </c>
      <c r="D24" t="s">
        <v>41</v>
      </c>
      <c r="E24">
        <v>25</v>
      </c>
      <c r="F24">
        <v>75</v>
      </c>
      <c r="G24" t="str">
        <f>IF(Data_Analytics_Excel_Practice_Dataset[[#This Row],[Score]]&gt;=60,"PASS","FAIL")</f>
        <v>PASS</v>
      </c>
    </row>
    <row r="25" spans="1:7" x14ac:dyDescent="0.3">
      <c r="A25">
        <v>24</v>
      </c>
      <c r="B25" t="s">
        <v>42</v>
      </c>
      <c r="C25" t="s">
        <v>35</v>
      </c>
      <c r="D25" t="s">
        <v>41</v>
      </c>
      <c r="E25">
        <v>29</v>
      </c>
      <c r="F25">
        <v>79</v>
      </c>
      <c r="G25" t="str">
        <f>IF(Data_Analytics_Excel_Practice_Dataset[[#This Row],[Score]]&gt;=60,"PASS","FAIL")</f>
        <v>PASS</v>
      </c>
    </row>
    <row r="26" spans="1:7" x14ac:dyDescent="0.3">
      <c r="A26">
        <v>25</v>
      </c>
      <c r="B26" t="s">
        <v>43</v>
      </c>
      <c r="C26" t="s">
        <v>32</v>
      </c>
      <c r="D26" t="s">
        <v>41</v>
      </c>
      <c r="E26">
        <v>18</v>
      </c>
      <c r="F26">
        <v>74</v>
      </c>
      <c r="G26" t="str">
        <f>IF(Data_Analytics_Excel_Practice_Dataset[[#This Row],[Score]]&gt;=60,"PASS","FAIL")</f>
        <v>PASS</v>
      </c>
    </row>
    <row r="27" spans="1:7" x14ac:dyDescent="0.3">
      <c r="A27">
        <v>26</v>
      </c>
      <c r="B27" t="s">
        <v>42</v>
      </c>
      <c r="C27" t="s">
        <v>38</v>
      </c>
      <c r="D27" t="s">
        <v>41</v>
      </c>
      <c r="E27">
        <v>35</v>
      </c>
      <c r="F27">
        <v>63</v>
      </c>
      <c r="G27" t="str">
        <f>IF(Data_Analytics_Excel_Practice_Dataset[[#This Row],[Score]]&gt;=60,"PASS","FAIL")</f>
        <v>PASS</v>
      </c>
    </row>
    <row r="28" spans="1:7" x14ac:dyDescent="0.3">
      <c r="A28">
        <v>27</v>
      </c>
      <c r="B28" t="s">
        <v>39</v>
      </c>
      <c r="C28" t="s">
        <v>38</v>
      </c>
      <c r="D28" t="s">
        <v>36</v>
      </c>
      <c r="E28">
        <v>29</v>
      </c>
      <c r="F28">
        <v>86</v>
      </c>
      <c r="G28" t="str">
        <f>IF(Data_Analytics_Excel_Practice_Dataset[[#This Row],[Score]]&gt;=60,"PASS","FAIL")</f>
        <v>PASS</v>
      </c>
    </row>
    <row r="29" spans="1:7" x14ac:dyDescent="0.3">
      <c r="A29">
        <v>28</v>
      </c>
      <c r="B29" t="s">
        <v>42</v>
      </c>
      <c r="C29" t="s">
        <v>38</v>
      </c>
      <c r="D29" t="s">
        <v>41</v>
      </c>
      <c r="E29">
        <v>31</v>
      </c>
      <c r="F29">
        <v>81</v>
      </c>
      <c r="G29" t="str">
        <f>IF(Data_Analytics_Excel_Practice_Dataset[[#This Row],[Score]]&gt;=60,"PASS","FAIL")</f>
        <v>PASS</v>
      </c>
    </row>
    <row r="30" spans="1:7" x14ac:dyDescent="0.3">
      <c r="A30">
        <v>29</v>
      </c>
      <c r="B30" t="s">
        <v>45</v>
      </c>
      <c r="C30" t="s">
        <v>35</v>
      </c>
      <c r="D30" t="s">
        <v>36</v>
      </c>
      <c r="E30">
        <v>18</v>
      </c>
      <c r="F30">
        <v>84</v>
      </c>
      <c r="G30" t="str">
        <f>IF(Data_Analytics_Excel_Practice_Dataset[[#This Row],[Score]]&gt;=60,"PASS","FAIL")</f>
        <v>PASS</v>
      </c>
    </row>
    <row r="31" spans="1:7" x14ac:dyDescent="0.3">
      <c r="A31">
        <v>30</v>
      </c>
      <c r="B31" t="s">
        <v>42</v>
      </c>
      <c r="C31" t="s">
        <v>32</v>
      </c>
      <c r="D31" t="s">
        <v>41</v>
      </c>
      <c r="E31">
        <v>28</v>
      </c>
      <c r="F31">
        <v>79</v>
      </c>
      <c r="G31" t="str">
        <f>IF(Data_Analytics_Excel_Practice_Dataset[[#This Row],[Score]]&gt;=60,"PASS","FAIL")</f>
        <v>PASS</v>
      </c>
    </row>
    <row r="32" spans="1:7" x14ac:dyDescent="0.3">
      <c r="A32">
        <v>31</v>
      </c>
      <c r="B32" t="s">
        <v>44</v>
      </c>
      <c r="C32" t="s">
        <v>38</v>
      </c>
      <c r="D32" t="s">
        <v>33</v>
      </c>
      <c r="E32">
        <v>23</v>
      </c>
      <c r="F32">
        <v>85</v>
      </c>
      <c r="G32" t="str">
        <f>IF(Data_Analytics_Excel_Practice_Dataset[[#This Row],[Score]]&gt;=60,"PASS","FAIL")</f>
        <v>PASS</v>
      </c>
    </row>
    <row r="33" spans="1:7" x14ac:dyDescent="0.3">
      <c r="A33">
        <v>32</v>
      </c>
      <c r="B33" t="s">
        <v>44</v>
      </c>
      <c r="C33" t="s">
        <v>38</v>
      </c>
      <c r="D33" t="s">
        <v>33</v>
      </c>
      <c r="E33">
        <v>35</v>
      </c>
      <c r="F33">
        <v>66</v>
      </c>
      <c r="G33" t="str">
        <f>IF(Data_Analytics_Excel_Practice_Dataset[[#This Row],[Score]]&gt;=60,"PASS","FAIL")</f>
        <v>PASS</v>
      </c>
    </row>
    <row r="34" spans="1:7" x14ac:dyDescent="0.3">
      <c r="A34">
        <v>33</v>
      </c>
      <c r="B34" t="s">
        <v>40</v>
      </c>
      <c r="C34" t="s">
        <v>32</v>
      </c>
      <c r="D34" t="s">
        <v>33</v>
      </c>
      <c r="E34">
        <v>20</v>
      </c>
      <c r="F34">
        <v>51</v>
      </c>
      <c r="G34" t="str">
        <f>IF(Data_Analytics_Excel_Practice_Dataset[[#This Row],[Score]]&gt;=60,"PASS","FAIL")</f>
        <v>FAIL</v>
      </c>
    </row>
    <row r="35" spans="1:7" x14ac:dyDescent="0.3">
      <c r="A35">
        <v>34</v>
      </c>
      <c r="B35" t="s">
        <v>34</v>
      </c>
      <c r="C35" t="s">
        <v>38</v>
      </c>
      <c r="D35" t="s">
        <v>36</v>
      </c>
      <c r="E35">
        <v>25</v>
      </c>
      <c r="F35">
        <v>67</v>
      </c>
      <c r="G35" t="str">
        <f>IF(Data_Analytics_Excel_Practice_Dataset[[#This Row],[Score]]&gt;=60,"PASS","FAIL")</f>
        <v>PASS</v>
      </c>
    </row>
    <row r="36" spans="1:7" x14ac:dyDescent="0.3">
      <c r="A36">
        <v>35</v>
      </c>
      <c r="B36" t="s">
        <v>46</v>
      </c>
      <c r="C36" t="s">
        <v>32</v>
      </c>
      <c r="D36" t="s">
        <v>33</v>
      </c>
      <c r="E36">
        <v>29</v>
      </c>
      <c r="F36">
        <v>68</v>
      </c>
      <c r="G36" t="str">
        <f>IF(Data_Analytics_Excel_Practice_Dataset[[#This Row],[Score]]&gt;=60,"PASS","FAIL")</f>
        <v>PASS</v>
      </c>
    </row>
    <row r="37" spans="1:7" x14ac:dyDescent="0.3">
      <c r="A37">
        <v>36</v>
      </c>
      <c r="B37" t="s">
        <v>46</v>
      </c>
      <c r="C37" t="s">
        <v>38</v>
      </c>
      <c r="D37" t="s">
        <v>33</v>
      </c>
      <c r="E37">
        <v>26</v>
      </c>
      <c r="F37">
        <v>83</v>
      </c>
      <c r="G37" t="str">
        <f>IF(Data_Analytics_Excel_Practice_Dataset[[#This Row],[Score]]&gt;=60,"PASS","FAIL")</f>
        <v>PASS</v>
      </c>
    </row>
    <row r="38" spans="1:7" x14ac:dyDescent="0.3">
      <c r="A38">
        <v>37</v>
      </c>
      <c r="B38" t="s">
        <v>31</v>
      </c>
      <c r="C38" t="s">
        <v>32</v>
      </c>
      <c r="D38" t="s">
        <v>36</v>
      </c>
      <c r="E38">
        <v>27</v>
      </c>
      <c r="F38">
        <v>79</v>
      </c>
      <c r="G38" t="str">
        <f>IF(Data_Analytics_Excel_Practice_Dataset[[#This Row],[Score]]&gt;=60,"PASS","FAIL")</f>
        <v>PASS</v>
      </c>
    </row>
    <row r="39" spans="1:7" x14ac:dyDescent="0.3">
      <c r="A39">
        <v>38</v>
      </c>
      <c r="B39" t="s">
        <v>45</v>
      </c>
      <c r="C39" t="s">
        <v>35</v>
      </c>
      <c r="D39" t="s">
        <v>36</v>
      </c>
      <c r="E39">
        <v>21</v>
      </c>
      <c r="F39">
        <v>51</v>
      </c>
      <c r="G39" t="str">
        <f>IF(Data_Analytics_Excel_Practice_Dataset[[#This Row],[Score]]&gt;=60,"PASS","FAIL")</f>
        <v>FAIL</v>
      </c>
    </row>
    <row r="40" spans="1:7" x14ac:dyDescent="0.3">
      <c r="A40">
        <v>39</v>
      </c>
      <c r="B40" t="s">
        <v>43</v>
      </c>
      <c r="C40" t="s">
        <v>35</v>
      </c>
      <c r="D40" t="s">
        <v>36</v>
      </c>
      <c r="E40">
        <v>31</v>
      </c>
      <c r="F40">
        <v>100</v>
      </c>
      <c r="G40" t="str">
        <f>IF(Data_Analytics_Excel_Practice_Dataset[[#This Row],[Score]]&gt;=60,"PASS","FAIL")</f>
        <v>PASS</v>
      </c>
    </row>
    <row r="41" spans="1:7" x14ac:dyDescent="0.3">
      <c r="A41">
        <v>40</v>
      </c>
      <c r="B41" t="s">
        <v>37</v>
      </c>
      <c r="C41" t="s">
        <v>35</v>
      </c>
      <c r="D41" t="s">
        <v>33</v>
      </c>
      <c r="E41">
        <v>26</v>
      </c>
      <c r="F41">
        <v>96</v>
      </c>
      <c r="G41" t="str">
        <f>IF(Data_Analytics_Excel_Practice_Dataset[[#This Row],[Score]]&gt;=60,"PASS","FAIL")</f>
        <v>PASS</v>
      </c>
    </row>
    <row r="42" spans="1:7" x14ac:dyDescent="0.3">
      <c r="A42">
        <v>41</v>
      </c>
      <c r="B42" t="s">
        <v>42</v>
      </c>
      <c r="C42" t="s">
        <v>38</v>
      </c>
      <c r="D42" t="s">
        <v>41</v>
      </c>
      <c r="E42">
        <v>31</v>
      </c>
      <c r="F42">
        <v>51</v>
      </c>
      <c r="G42" t="str">
        <f>IF(Data_Analytics_Excel_Practice_Dataset[[#This Row],[Score]]&gt;=60,"PASS","FAIL")</f>
        <v>FAIL</v>
      </c>
    </row>
    <row r="43" spans="1:7" x14ac:dyDescent="0.3">
      <c r="A43">
        <v>42</v>
      </c>
      <c r="B43" t="s">
        <v>37</v>
      </c>
      <c r="C43" t="s">
        <v>38</v>
      </c>
      <c r="D43" t="s">
        <v>36</v>
      </c>
      <c r="E43">
        <v>22</v>
      </c>
      <c r="F43">
        <v>52</v>
      </c>
      <c r="G43" t="str">
        <f>IF(Data_Analytics_Excel_Practice_Dataset[[#This Row],[Score]]&gt;=60,"PASS","FAIL")</f>
        <v>FAIL</v>
      </c>
    </row>
    <row r="44" spans="1:7" x14ac:dyDescent="0.3">
      <c r="A44">
        <v>43</v>
      </c>
      <c r="B44" t="s">
        <v>31</v>
      </c>
      <c r="C44" t="s">
        <v>35</v>
      </c>
      <c r="D44" t="s">
        <v>41</v>
      </c>
      <c r="E44">
        <v>34</v>
      </c>
      <c r="F44">
        <v>93</v>
      </c>
      <c r="G44" t="str">
        <f>IF(Data_Analytics_Excel_Practice_Dataset[[#This Row],[Score]]&gt;=60,"PASS","FAIL")</f>
        <v>PASS</v>
      </c>
    </row>
    <row r="45" spans="1:7" x14ac:dyDescent="0.3">
      <c r="A45">
        <v>44</v>
      </c>
      <c r="B45" t="s">
        <v>39</v>
      </c>
      <c r="C45" t="s">
        <v>32</v>
      </c>
      <c r="D45" t="s">
        <v>33</v>
      </c>
      <c r="E45">
        <v>34</v>
      </c>
      <c r="F45">
        <v>78</v>
      </c>
      <c r="G45" t="str">
        <f>IF(Data_Analytics_Excel_Practice_Dataset[[#This Row],[Score]]&gt;=60,"PASS","FAIL")</f>
        <v>PASS</v>
      </c>
    </row>
    <row r="46" spans="1:7" x14ac:dyDescent="0.3">
      <c r="A46">
        <v>45</v>
      </c>
      <c r="B46" t="s">
        <v>37</v>
      </c>
      <c r="C46" t="s">
        <v>32</v>
      </c>
      <c r="D46" t="s">
        <v>41</v>
      </c>
      <c r="E46">
        <v>18</v>
      </c>
      <c r="F46">
        <v>75</v>
      </c>
      <c r="G46" t="str">
        <f>IF(Data_Analytics_Excel_Practice_Dataset[[#This Row],[Score]]&gt;=60,"PASS","FAIL")</f>
        <v>PASS</v>
      </c>
    </row>
    <row r="47" spans="1:7" x14ac:dyDescent="0.3">
      <c r="A47">
        <v>46</v>
      </c>
      <c r="B47" t="s">
        <v>44</v>
      </c>
      <c r="C47" t="s">
        <v>35</v>
      </c>
      <c r="D47" t="s">
        <v>41</v>
      </c>
      <c r="E47">
        <v>31</v>
      </c>
      <c r="F47">
        <v>53</v>
      </c>
      <c r="G47" t="str">
        <f>IF(Data_Analytics_Excel_Practice_Dataset[[#This Row],[Score]]&gt;=60,"PASS","FAIL")</f>
        <v>FAIL</v>
      </c>
    </row>
    <row r="48" spans="1:7" x14ac:dyDescent="0.3">
      <c r="A48">
        <v>47</v>
      </c>
      <c r="B48" t="s">
        <v>43</v>
      </c>
      <c r="C48" t="s">
        <v>38</v>
      </c>
      <c r="D48" t="s">
        <v>33</v>
      </c>
      <c r="E48">
        <v>19</v>
      </c>
      <c r="F48">
        <v>69</v>
      </c>
      <c r="G48" t="str">
        <f>IF(Data_Analytics_Excel_Practice_Dataset[[#This Row],[Score]]&gt;=60,"PASS","FAIL")</f>
        <v>PASS</v>
      </c>
    </row>
    <row r="49" spans="1:7" x14ac:dyDescent="0.3">
      <c r="A49">
        <v>48</v>
      </c>
      <c r="B49" t="s">
        <v>46</v>
      </c>
      <c r="C49" t="s">
        <v>38</v>
      </c>
      <c r="D49" t="s">
        <v>36</v>
      </c>
      <c r="E49">
        <v>27</v>
      </c>
      <c r="F49">
        <v>97</v>
      </c>
      <c r="G49" t="str">
        <f>IF(Data_Analytics_Excel_Practice_Dataset[[#This Row],[Score]]&gt;=60,"PASS","FAIL")</f>
        <v>PASS</v>
      </c>
    </row>
    <row r="50" spans="1:7" x14ac:dyDescent="0.3">
      <c r="A50">
        <v>49</v>
      </c>
      <c r="B50" t="s">
        <v>31</v>
      </c>
      <c r="C50" t="s">
        <v>35</v>
      </c>
      <c r="D50" t="s">
        <v>41</v>
      </c>
      <c r="E50">
        <v>26</v>
      </c>
      <c r="F50">
        <v>58</v>
      </c>
      <c r="G50" t="str">
        <f>IF(Data_Analytics_Excel_Practice_Dataset[[#This Row],[Score]]&gt;=60,"PASS","FAIL")</f>
        <v>FAIL</v>
      </c>
    </row>
    <row r="51" spans="1:7" x14ac:dyDescent="0.3">
      <c r="A51">
        <v>50</v>
      </c>
      <c r="B51" t="s">
        <v>40</v>
      </c>
      <c r="C51" t="s">
        <v>32</v>
      </c>
      <c r="D51" t="s">
        <v>33</v>
      </c>
      <c r="E51">
        <v>24</v>
      </c>
      <c r="F51">
        <v>86</v>
      </c>
      <c r="G51" t="str">
        <f>IF(Data_Analytics_Excel_Practice_Dataset[[#This Row],[Score]]&gt;=60,"PASS","FAIL")</f>
        <v>PASS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40F3-5210-4880-A7B1-F22B1A8F2D7E}">
  <dimension ref="A1:U50"/>
  <sheetViews>
    <sheetView workbookViewId="0">
      <selection activeCell="K6" sqref="K6"/>
    </sheetView>
  </sheetViews>
  <sheetFormatPr defaultRowHeight="14.4" x14ac:dyDescent="0.3"/>
  <cols>
    <col min="3" max="3" width="12.5546875" bestFit="1" customWidth="1"/>
  </cols>
  <sheetData>
    <row r="1" spans="1:21" x14ac:dyDescent="0.3">
      <c r="A1" s="8">
        <v>1</v>
      </c>
      <c r="B1" s="9" t="s">
        <v>31</v>
      </c>
      <c r="C1" s="9" t="s">
        <v>32</v>
      </c>
      <c r="D1" s="9" t="s">
        <v>33</v>
      </c>
      <c r="E1" s="9">
        <v>26</v>
      </c>
      <c r="F1" s="9">
        <v>57</v>
      </c>
      <c r="G1" s="10" t="s">
        <v>54</v>
      </c>
      <c r="I1" t="s">
        <v>21</v>
      </c>
      <c r="J1" t="s">
        <v>47</v>
      </c>
      <c r="K1" t="s">
        <v>48</v>
      </c>
      <c r="L1" t="s">
        <v>49</v>
      </c>
      <c r="M1" t="s">
        <v>50</v>
      </c>
      <c r="N1" t="s">
        <v>55</v>
      </c>
      <c r="O1" t="s">
        <v>52</v>
      </c>
      <c r="P1" t="s">
        <v>6</v>
      </c>
      <c r="Q1" t="s">
        <v>5</v>
      </c>
      <c r="R1" t="s">
        <v>23</v>
      </c>
      <c r="S1" t="s">
        <v>22</v>
      </c>
      <c r="T1" t="s">
        <v>53</v>
      </c>
      <c r="U1" t="s">
        <v>23</v>
      </c>
    </row>
    <row r="2" spans="1:21" x14ac:dyDescent="0.3">
      <c r="A2" s="11">
        <v>2</v>
      </c>
      <c r="B2" s="12" t="s">
        <v>34</v>
      </c>
      <c r="C2" s="12" t="s">
        <v>35</v>
      </c>
      <c r="D2" s="12" t="s">
        <v>36</v>
      </c>
      <c r="E2" s="12">
        <v>30</v>
      </c>
      <c r="F2" s="12">
        <v>100</v>
      </c>
      <c r="G2" s="13" t="str">
        <f>IF(F2&gt;=60,"PASS","FAIL")</f>
        <v>PASS</v>
      </c>
      <c r="I2">
        <f>COUNT(A1:A50)</f>
        <v>50</v>
      </c>
      <c r="J2">
        <f>SUM(FUNCTIONS!F1:F50)</f>
        <v>3795</v>
      </c>
      <c r="K2">
        <f>MIN(F1:F50)</f>
        <v>50</v>
      </c>
      <c r="L2">
        <f>MAX(F1:F50)</f>
        <v>100</v>
      </c>
      <c r="M2">
        <f>AVERAGE(F1:F50)</f>
        <v>75.900000000000006</v>
      </c>
      <c r="N2">
        <f>MEDIAN(F1:F50)</f>
        <v>77</v>
      </c>
      <c r="O2">
        <f>MODE(F1:F50)</f>
        <v>51</v>
      </c>
      <c r="P2">
        <f>_xlfn.VAR.S(F1:F50)</f>
        <v>251.39795918367346</v>
      </c>
      <c r="Q2">
        <f>_xlfn.STDEV.S(F1:F50)</f>
        <v>15.855534023919644</v>
      </c>
      <c r="R2">
        <f>COUNTIF(C1:C50,C3)</f>
        <v>17</v>
      </c>
      <c r="S2">
        <f>SUMIF(C1:C50,C2,F1:F50)</f>
        <v>1027</v>
      </c>
      <c r="T2">
        <f>AVERAGEIF(C1:C50,C1,F1:F50)</f>
        <v>75.400000000000006</v>
      </c>
      <c r="U2">
        <f>COUNTIF(D1:D50,D50)</f>
        <v>16</v>
      </c>
    </row>
    <row r="3" spans="1:21" x14ac:dyDescent="0.3">
      <c r="A3" s="8">
        <v>3</v>
      </c>
      <c r="B3" s="9" t="s">
        <v>37</v>
      </c>
      <c r="C3" s="9" t="s">
        <v>38</v>
      </c>
      <c r="D3" s="9" t="s">
        <v>36</v>
      </c>
      <c r="E3" s="9">
        <v>18</v>
      </c>
      <c r="F3" s="9">
        <v>74</v>
      </c>
      <c r="G3" s="13" t="str">
        <f t="shared" ref="G3:G50" si="0">IF(F3&gt;=60,"PASS","FAIL")</f>
        <v>PASS</v>
      </c>
    </row>
    <row r="4" spans="1:21" x14ac:dyDescent="0.3">
      <c r="A4" s="11">
        <v>4</v>
      </c>
      <c r="B4" s="12" t="s">
        <v>39</v>
      </c>
      <c r="C4" s="12" t="s">
        <v>32</v>
      </c>
      <c r="D4" s="12" t="s">
        <v>33</v>
      </c>
      <c r="E4" s="12">
        <v>32</v>
      </c>
      <c r="F4" s="12">
        <v>67</v>
      </c>
      <c r="G4" s="13" t="str">
        <f t="shared" si="0"/>
        <v>PASS</v>
      </c>
    </row>
    <row r="5" spans="1:21" x14ac:dyDescent="0.3">
      <c r="A5" s="8">
        <v>5</v>
      </c>
      <c r="B5" s="9" t="s">
        <v>37</v>
      </c>
      <c r="C5" s="9" t="s">
        <v>32</v>
      </c>
      <c r="D5" s="9" t="s">
        <v>33</v>
      </c>
      <c r="E5" s="9">
        <v>28</v>
      </c>
      <c r="F5" s="9">
        <v>51</v>
      </c>
      <c r="G5" s="13" t="str">
        <f t="shared" si="0"/>
        <v>FAIL</v>
      </c>
    </row>
    <row r="6" spans="1:21" x14ac:dyDescent="0.3">
      <c r="A6" s="11">
        <v>6</v>
      </c>
      <c r="B6" s="12" t="s">
        <v>40</v>
      </c>
      <c r="C6" s="12" t="s">
        <v>38</v>
      </c>
      <c r="D6" s="12" t="s">
        <v>41</v>
      </c>
      <c r="E6" s="12">
        <v>35</v>
      </c>
      <c r="F6" s="12">
        <v>50</v>
      </c>
      <c r="G6" s="13" t="str">
        <f t="shared" si="0"/>
        <v>FAIL</v>
      </c>
    </row>
    <row r="7" spans="1:21" x14ac:dyDescent="0.3">
      <c r="A7" s="8">
        <v>7</v>
      </c>
      <c r="B7" s="9" t="s">
        <v>39</v>
      </c>
      <c r="C7" s="9" t="s">
        <v>32</v>
      </c>
      <c r="D7" s="9" t="s">
        <v>33</v>
      </c>
      <c r="E7" s="9">
        <v>31</v>
      </c>
      <c r="F7" s="9">
        <v>96</v>
      </c>
      <c r="G7" s="13" t="str">
        <f t="shared" si="0"/>
        <v>PASS</v>
      </c>
    </row>
    <row r="8" spans="1:21" x14ac:dyDescent="0.3">
      <c r="A8" s="11">
        <v>8</v>
      </c>
      <c r="B8" s="12" t="s">
        <v>40</v>
      </c>
      <c r="C8" s="12" t="s">
        <v>32</v>
      </c>
      <c r="D8" s="12" t="s">
        <v>33</v>
      </c>
      <c r="E8" s="12">
        <v>32</v>
      </c>
      <c r="F8" s="12">
        <v>81</v>
      </c>
      <c r="G8" s="13" t="str">
        <f t="shared" si="0"/>
        <v>PASS</v>
      </c>
    </row>
    <row r="9" spans="1:21" x14ac:dyDescent="0.3">
      <c r="A9" s="8">
        <v>9</v>
      </c>
      <c r="B9" s="9" t="s">
        <v>42</v>
      </c>
      <c r="C9" s="9" t="s">
        <v>38</v>
      </c>
      <c r="D9" s="9" t="s">
        <v>36</v>
      </c>
      <c r="E9" s="9">
        <v>25</v>
      </c>
      <c r="F9" s="9">
        <v>93</v>
      </c>
      <c r="G9" s="13" t="str">
        <f t="shared" si="0"/>
        <v>PASS</v>
      </c>
    </row>
    <row r="10" spans="1:21" x14ac:dyDescent="0.3">
      <c r="A10" s="11">
        <v>10</v>
      </c>
      <c r="B10" s="12" t="s">
        <v>37</v>
      </c>
      <c r="C10" s="12" t="s">
        <v>35</v>
      </c>
      <c r="D10" s="12" t="s">
        <v>36</v>
      </c>
      <c r="E10" s="12">
        <v>18</v>
      </c>
      <c r="F10" s="12">
        <v>76</v>
      </c>
      <c r="G10" s="13" t="str">
        <f t="shared" si="0"/>
        <v>PASS</v>
      </c>
    </row>
    <row r="11" spans="1:21" x14ac:dyDescent="0.3">
      <c r="A11" s="8">
        <v>11</v>
      </c>
      <c r="B11" s="9" t="s">
        <v>42</v>
      </c>
      <c r="C11" s="9" t="s">
        <v>32</v>
      </c>
      <c r="D11" s="9" t="s">
        <v>33</v>
      </c>
      <c r="E11" s="9">
        <v>23</v>
      </c>
      <c r="F11" s="9">
        <v>90</v>
      </c>
      <c r="G11" s="13" t="str">
        <f t="shared" si="0"/>
        <v>PASS</v>
      </c>
    </row>
    <row r="12" spans="1:21" x14ac:dyDescent="0.3">
      <c r="A12" s="11">
        <v>12</v>
      </c>
      <c r="B12" s="12" t="s">
        <v>43</v>
      </c>
      <c r="C12" s="12" t="s">
        <v>38</v>
      </c>
      <c r="D12" s="12" t="s">
        <v>41</v>
      </c>
      <c r="E12" s="12">
        <v>28</v>
      </c>
      <c r="F12" s="12">
        <v>96</v>
      </c>
      <c r="G12" s="13" t="str">
        <f t="shared" si="0"/>
        <v>PASS</v>
      </c>
    </row>
    <row r="13" spans="1:21" x14ac:dyDescent="0.3">
      <c r="A13" s="8">
        <v>13</v>
      </c>
      <c r="B13" s="9" t="s">
        <v>42</v>
      </c>
      <c r="C13" s="9" t="s">
        <v>35</v>
      </c>
      <c r="D13" s="9" t="s">
        <v>41</v>
      </c>
      <c r="E13" s="9">
        <v>24</v>
      </c>
      <c r="F13" s="9">
        <v>69</v>
      </c>
      <c r="G13" s="13" t="str">
        <f t="shared" si="0"/>
        <v>PASS</v>
      </c>
    </row>
    <row r="14" spans="1:21" x14ac:dyDescent="0.3">
      <c r="A14" s="11">
        <v>14</v>
      </c>
      <c r="B14" s="12" t="s">
        <v>43</v>
      </c>
      <c r="C14" s="12" t="s">
        <v>32</v>
      </c>
      <c r="D14" s="12" t="s">
        <v>36</v>
      </c>
      <c r="E14" s="12">
        <v>34</v>
      </c>
      <c r="F14" s="12">
        <v>75</v>
      </c>
      <c r="G14" s="13" t="str">
        <f t="shared" si="0"/>
        <v>PASS</v>
      </c>
    </row>
    <row r="15" spans="1:21" x14ac:dyDescent="0.3">
      <c r="A15" s="8">
        <v>15</v>
      </c>
      <c r="B15" s="9" t="s">
        <v>44</v>
      </c>
      <c r="C15" s="9" t="s">
        <v>38</v>
      </c>
      <c r="D15" s="9" t="s">
        <v>36</v>
      </c>
      <c r="E15" s="9">
        <v>25</v>
      </c>
      <c r="F15" s="9">
        <v>97</v>
      </c>
      <c r="G15" s="13" t="str">
        <f t="shared" si="0"/>
        <v>PASS</v>
      </c>
    </row>
    <row r="16" spans="1:21" x14ac:dyDescent="0.3">
      <c r="A16" s="11">
        <v>16</v>
      </c>
      <c r="B16" s="12" t="s">
        <v>39</v>
      </c>
      <c r="C16" s="12" t="s">
        <v>35</v>
      </c>
      <c r="D16" s="12" t="s">
        <v>41</v>
      </c>
      <c r="E16" s="12">
        <v>23</v>
      </c>
      <c r="F16" s="12">
        <v>73</v>
      </c>
      <c r="G16" s="13" t="str">
        <f t="shared" si="0"/>
        <v>PASS</v>
      </c>
    </row>
    <row r="17" spans="1:7" x14ac:dyDescent="0.3">
      <c r="A17" s="8">
        <v>17</v>
      </c>
      <c r="B17" s="9" t="s">
        <v>42</v>
      </c>
      <c r="C17" s="9" t="s">
        <v>32</v>
      </c>
      <c r="D17" s="9" t="s">
        <v>41</v>
      </c>
      <c r="E17" s="9">
        <v>29</v>
      </c>
      <c r="F17" s="9">
        <v>55</v>
      </c>
      <c r="G17" s="13" t="str">
        <f t="shared" si="0"/>
        <v>FAIL</v>
      </c>
    </row>
    <row r="18" spans="1:7" x14ac:dyDescent="0.3">
      <c r="A18" s="11">
        <v>18</v>
      </c>
      <c r="B18" s="12" t="s">
        <v>34</v>
      </c>
      <c r="C18" s="12" t="s">
        <v>32</v>
      </c>
      <c r="D18" s="12" t="s">
        <v>41</v>
      </c>
      <c r="E18" s="12">
        <v>21</v>
      </c>
      <c r="F18" s="12">
        <v>99</v>
      </c>
      <c r="G18" s="13" t="str">
        <f t="shared" si="0"/>
        <v>PASS</v>
      </c>
    </row>
    <row r="19" spans="1:7" x14ac:dyDescent="0.3">
      <c r="A19" s="8">
        <v>19</v>
      </c>
      <c r="B19" s="9" t="s">
        <v>31</v>
      </c>
      <c r="C19" s="9" t="s">
        <v>32</v>
      </c>
      <c r="D19" s="9" t="s">
        <v>36</v>
      </c>
      <c r="E19" s="9">
        <v>29</v>
      </c>
      <c r="F19" s="9">
        <v>81</v>
      </c>
      <c r="G19" s="13" t="str">
        <f t="shared" si="0"/>
        <v>PASS</v>
      </c>
    </row>
    <row r="20" spans="1:7" x14ac:dyDescent="0.3">
      <c r="A20" s="11">
        <v>20</v>
      </c>
      <c r="B20" s="12" t="s">
        <v>40</v>
      </c>
      <c r="C20" s="12" t="s">
        <v>35</v>
      </c>
      <c r="D20" s="12" t="s">
        <v>33</v>
      </c>
      <c r="E20" s="12">
        <v>27</v>
      </c>
      <c r="F20" s="12">
        <v>95</v>
      </c>
      <c r="G20" s="13" t="str">
        <f t="shared" si="0"/>
        <v>PASS</v>
      </c>
    </row>
    <row r="21" spans="1:7" x14ac:dyDescent="0.3">
      <c r="A21" s="8">
        <v>21</v>
      </c>
      <c r="B21" s="9" t="s">
        <v>44</v>
      </c>
      <c r="C21" s="9" t="s">
        <v>32</v>
      </c>
      <c r="D21" s="9" t="s">
        <v>41</v>
      </c>
      <c r="E21" s="9">
        <v>30</v>
      </c>
      <c r="F21" s="9">
        <v>91</v>
      </c>
      <c r="G21" s="13" t="str">
        <f t="shared" si="0"/>
        <v>PASS</v>
      </c>
    </row>
    <row r="22" spans="1:7" x14ac:dyDescent="0.3">
      <c r="A22" s="11">
        <v>22</v>
      </c>
      <c r="B22" s="12" t="s">
        <v>31</v>
      </c>
      <c r="C22" s="12" t="s">
        <v>38</v>
      </c>
      <c r="D22" s="12" t="s">
        <v>41</v>
      </c>
      <c r="E22" s="12">
        <v>25</v>
      </c>
      <c r="F22" s="12">
        <v>50</v>
      </c>
      <c r="G22" s="13" t="str">
        <f t="shared" si="0"/>
        <v>FAIL</v>
      </c>
    </row>
    <row r="23" spans="1:7" x14ac:dyDescent="0.3">
      <c r="A23" s="8">
        <v>23</v>
      </c>
      <c r="B23" s="9" t="s">
        <v>37</v>
      </c>
      <c r="C23" s="9" t="s">
        <v>32</v>
      </c>
      <c r="D23" s="9" t="s">
        <v>41</v>
      </c>
      <c r="E23" s="9">
        <v>25</v>
      </c>
      <c r="F23" s="9">
        <v>75</v>
      </c>
      <c r="G23" s="13" t="str">
        <f t="shared" si="0"/>
        <v>PASS</v>
      </c>
    </row>
    <row r="24" spans="1:7" x14ac:dyDescent="0.3">
      <c r="A24" s="11">
        <v>24</v>
      </c>
      <c r="B24" s="12" t="s">
        <v>42</v>
      </c>
      <c r="C24" s="12" t="s">
        <v>35</v>
      </c>
      <c r="D24" s="12" t="s">
        <v>41</v>
      </c>
      <c r="E24" s="12">
        <v>29</v>
      </c>
      <c r="F24" s="12">
        <v>79</v>
      </c>
      <c r="G24" s="13" t="str">
        <f t="shared" si="0"/>
        <v>PASS</v>
      </c>
    </row>
    <row r="25" spans="1:7" x14ac:dyDescent="0.3">
      <c r="A25" s="8">
        <v>25</v>
      </c>
      <c r="B25" s="9" t="s">
        <v>43</v>
      </c>
      <c r="C25" s="9" t="s">
        <v>32</v>
      </c>
      <c r="D25" s="9" t="s">
        <v>41</v>
      </c>
      <c r="E25" s="9">
        <v>18</v>
      </c>
      <c r="F25" s="9">
        <v>74</v>
      </c>
      <c r="G25" s="13" t="str">
        <f t="shared" si="0"/>
        <v>PASS</v>
      </c>
    </row>
    <row r="26" spans="1:7" x14ac:dyDescent="0.3">
      <c r="A26" s="11">
        <v>26</v>
      </c>
      <c r="B26" s="12" t="s">
        <v>42</v>
      </c>
      <c r="C26" s="12" t="s">
        <v>38</v>
      </c>
      <c r="D26" s="12" t="s">
        <v>41</v>
      </c>
      <c r="E26" s="12">
        <v>35</v>
      </c>
      <c r="F26" s="12">
        <v>63</v>
      </c>
      <c r="G26" s="13" t="str">
        <f t="shared" si="0"/>
        <v>PASS</v>
      </c>
    </row>
    <row r="27" spans="1:7" x14ac:dyDescent="0.3">
      <c r="A27" s="8">
        <v>27</v>
      </c>
      <c r="B27" s="9" t="s">
        <v>39</v>
      </c>
      <c r="C27" s="9" t="s">
        <v>38</v>
      </c>
      <c r="D27" s="9" t="s">
        <v>36</v>
      </c>
      <c r="E27" s="9">
        <v>29</v>
      </c>
      <c r="F27" s="9">
        <v>86</v>
      </c>
      <c r="G27" s="13" t="str">
        <f t="shared" si="0"/>
        <v>PASS</v>
      </c>
    </row>
    <row r="28" spans="1:7" x14ac:dyDescent="0.3">
      <c r="A28" s="11">
        <v>28</v>
      </c>
      <c r="B28" s="12" t="s">
        <v>42</v>
      </c>
      <c r="C28" s="12" t="s">
        <v>38</v>
      </c>
      <c r="D28" s="12" t="s">
        <v>41</v>
      </c>
      <c r="E28" s="12">
        <v>31</v>
      </c>
      <c r="F28" s="12">
        <v>81</v>
      </c>
      <c r="G28" s="13" t="str">
        <f t="shared" si="0"/>
        <v>PASS</v>
      </c>
    </row>
    <row r="29" spans="1:7" x14ac:dyDescent="0.3">
      <c r="A29" s="8">
        <v>29</v>
      </c>
      <c r="B29" s="9" t="s">
        <v>45</v>
      </c>
      <c r="C29" s="9" t="s">
        <v>35</v>
      </c>
      <c r="D29" s="9" t="s">
        <v>36</v>
      </c>
      <c r="E29" s="9">
        <v>18</v>
      </c>
      <c r="F29" s="9">
        <v>84</v>
      </c>
      <c r="G29" s="13" t="str">
        <f t="shared" si="0"/>
        <v>PASS</v>
      </c>
    </row>
    <row r="30" spans="1:7" x14ac:dyDescent="0.3">
      <c r="A30" s="11">
        <v>30</v>
      </c>
      <c r="B30" s="12" t="s">
        <v>42</v>
      </c>
      <c r="C30" s="12" t="s">
        <v>32</v>
      </c>
      <c r="D30" s="12" t="s">
        <v>41</v>
      </c>
      <c r="E30" s="12">
        <v>28</v>
      </c>
      <c r="F30" s="12">
        <v>79</v>
      </c>
      <c r="G30" s="13" t="str">
        <f t="shared" si="0"/>
        <v>PASS</v>
      </c>
    </row>
    <row r="31" spans="1:7" x14ac:dyDescent="0.3">
      <c r="A31" s="8">
        <v>31</v>
      </c>
      <c r="B31" s="9" t="s">
        <v>44</v>
      </c>
      <c r="C31" s="9" t="s">
        <v>38</v>
      </c>
      <c r="D31" s="9" t="s">
        <v>33</v>
      </c>
      <c r="E31" s="9">
        <v>23</v>
      </c>
      <c r="F31" s="9">
        <v>85</v>
      </c>
      <c r="G31" s="13" t="str">
        <f t="shared" si="0"/>
        <v>PASS</v>
      </c>
    </row>
    <row r="32" spans="1:7" x14ac:dyDescent="0.3">
      <c r="A32" s="11">
        <v>32</v>
      </c>
      <c r="B32" s="12" t="s">
        <v>44</v>
      </c>
      <c r="C32" s="12" t="s">
        <v>38</v>
      </c>
      <c r="D32" s="12" t="s">
        <v>33</v>
      </c>
      <c r="E32" s="12">
        <v>35</v>
      </c>
      <c r="F32" s="12">
        <v>66</v>
      </c>
      <c r="G32" s="13" t="str">
        <f t="shared" si="0"/>
        <v>PASS</v>
      </c>
    </row>
    <row r="33" spans="1:7" x14ac:dyDescent="0.3">
      <c r="A33" s="8">
        <v>33</v>
      </c>
      <c r="B33" s="9" t="s">
        <v>40</v>
      </c>
      <c r="C33" s="9" t="s">
        <v>32</v>
      </c>
      <c r="D33" s="9" t="s">
        <v>33</v>
      </c>
      <c r="E33" s="9">
        <v>20</v>
      </c>
      <c r="F33" s="9">
        <v>51</v>
      </c>
      <c r="G33" s="13" t="str">
        <f t="shared" si="0"/>
        <v>FAIL</v>
      </c>
    </row>
    <row r="34" spans="1:7" x14ac:dyDescent="0.3">
      <c r="A34" s="11">
        <v>34</v>
      </c>
      <c r="B34" s="12" t="s">
        <v>34</v>
      </c>
      <c r="C34" s="12" t="s">
        <v>38</v>
      </c>
      <c r="D34" s="12" t="s">
        <v>36</v>
      </c>
      <c r="E34" s="12">
        <v>25</v>
      </c>
      <c r="F34" s="12">
        <v>67</v>
      </c>
      <c r="G34" s="13" t="str">
        <f t="shared" si="0"/>
        <v>PASS</v>
      </c>
    </row>
    <row r="35" spans="1:7" x14ac:dyDescent="0.3">
      <c r="A35" s="8">
        <v>35</v>
      </c>
      <c r="B35" s="9" t="s">
        <v>46</v>
      </c>
      <c r="C35" s="9" t="s">
        <v>32</v>
      </c>
      <c r="D35" s="9" t="s">
        <v>33</v>
      </c>
      <c r="E35" s="9">
        <v>29</v>
      </c>
      <c r="F35" s="9">
        <v>68</v>
      </c>
      <c r="G35" s="13" t="str">
        <f t="shared" si="0"/>
        <v>PASS</v>
      </c>
    </row>
    <row r="36" spans="1:7" x14ac:dyDescent="0.3">
      <c r="A36" s="11">
        <v>36</v>
      </c>
      <c r="B36" s="12" t="s">
        <v>46</v>
      </c>
      <c r="C36" s="12" t="s">
        <v>38</v>
      </c>
      <c r="D36" s="12" t="s">
        <v>33</v>
      </c>
      <c r="E36" s="12">
        <v>26</v>
      </c>
      <c r="F36" s="12">
        <v>83</v>
      </c>
      <c r="G36" s="13" t="str">
        <f t="shared" si="0"/>
        <v>PASS</v>
      </c>
    </row>
    <row r="37" spans="1:7" x14ac:dyDescent="0.3">
      <c r="A37" s="8">
        <v>37</v>
      </c>
      <c r="B37" s="9" t="s">
        <v>31</v>
      </c>
      <c r="C37" s="9" t="s">
        <v>32</v>
      </c>
      <c r="D37" s="9" t="s">
        <v>36</v>
      </c>
      <c r="E37" s="9">
        <v>27</v>
      </c>
      <c r="F37" s="9">
        <v>79</v>
      </c>
      <c r="G37" s="13" t="str">
        <f t="shared" si="0"/>
        <v>PASS</v>
      </c>
    </row>
    <row r="38" spans="1:7" x14ac:dyDescent="0.3">
      <c r="A38" s="11">
        <v>38</v>
      </c>
      <c r="B38" s="12" t="s">
        <v>45</v>
      </c>
      <c r="C38" s="12" t="s">
        <v>35</v>
      </c>
      <c r="D38" s="12" t="s">
        <v>36</v>
      </c>
      <c r="E38" s="12">
        <v>21</v>
      </c>
      <c r="F38" s="12">
        <v>51</v>
      </c>
      <c r="G38" s="13" t="str">
        <f t="shared" si="0"/>
        <v>FAIL</v>
      </c>
    </row>
    <row r="39" spans="1:7" x14ac:dyDescent="0.3">
      <c r="A39" s="8">
        <v>39</v>
      </c>
      <c r="B39" s="9" t="s">
        <v>43</v>
      </c>
      <c r="C39" s="9" t="s">
        <v>35</v>
      </c>
      <c r="D39" s="9" t="s">
        <v>36</v>
      </c>
      <c r="E39" s="9">
        <v>31</v>
      </c>
      <c r="F39" s="9">
        <v>100</v>
      </c>
      <c r="G39" s="13" t="str">
        <f t="shared" si="0"/>
        <v>PASS</v>
      </c>
    </row>
    <row r="40" spans="1:7" x14ac:dyDescent="0.3">
      <c r="A40" s="11">
        <v>40</v>
      </c>
      <c r="B40" s="12" t="s">
        <v>37</v>
      </c>
      <c r="C40" s="12" t="s">
        <v>35</v>
      </c>
      <c r="D40" s="12" t="s">
        <v>33</v>
      </c>
      <c r="E40" s="12">
        <v>26</v>
      </c>
      <c r="F40" s="12">
        <v>96</v>
      </c>
      <c r="G40" s="13" t="str">
        <f t="shared" si="0"/>
        <v>PASS</v>
      </c>
    </row>
    <row r="41" spans="1:7" x14ac:dyDescent="0.3">
      <c r="A41" s="8">
        <v>41</v>
      </c>
      <c r="B41" s="9" t="s">
        <v>42</v>
      </c>
      <c r="C41" s="9" t="s">
        <v>38</v>
      </c>
      <c r="D41" s="9" t="s">
        <v>41</v>
      </c>
      <c r="E41" s="9">
        <v>31</v>
      </c>
      <c r="F41" s="9">
        <v>51</v>
      </c>
      <c r="G41" s="13" t="str">
        <f t="shared" si="0"/>
        <v>FAIL</v>
      </c>
    </row>
    <row r="42" spans="1:7" x14ac:dyDescent="0.3">
      <c r="A42" s="11">
        <v>42</v>
      </c>
      <c r="B42" s="12" t="s">
        <v>37</v>
      </c>
      <c r="C42" s="12" t="s">
        <v>38</v>
      </c>
      <c r="D42" s="12" t="s">
        <v>36</v>
      </c>
      <c r="E42" s="12">
        <v>22</v>
      </c>
      <c r="F42" s="12">
        <v>52</v>
      </c>
      <c r="G42" s="13" t="str">
        <f t="shared" si="0"/>
        <v>FAIL</v>
      </c>
    </row>
    <row r="43" spans="1:7" x14ac:dyDescent="0.3">
      <c r="A43" s="8">
        <v>43</v>
      </c>
      <c r="B43" s="9" t="s">
        <v>31</v>
      </c>
      <c r="C43" s="9" t="s">
        <v>35</v>
      </c>
      <c r="D43" s="9" t="s">
        <v>41</v>
      </c>
      <c r="E43" s="9">
        <v>34</v>
      </c>
      <c r="F43" s="9">
        <v>93</v>
      </c>
      <c r="G43" s="13" t="str">
        <f t="shared" si="0"/>
        <v>PASS</v>
      </c>
    </row>
    <row r="44" spans="1:7" x14ac:dyDescent="0.3">
      <c r="A44" s="11">
        <v>44</v>
      </c>
      <c r="B44" s="12" t="s">
        <v>39</v>
      </c>
      <c r="C44" s="12" t="s">
        <v>32</v>
      </c>
      <c r="D44" s="12" t="s">
        <v>33</v>
      </c>
      <c r="E44" s="12">
        <v>34</v>
      </c>
      <c r="F44" s="12">
        <v>78</v>
      </c>
      <c r="G44" s="13" t="str">
        <f t="shared" si="0"/>
        <v>PASS</v>
      </c>
    </row>
    <row r="45" spans="1:7" x14ac:dyDescent="0.3">
      <c r="A45" s="8">
        <v>45</v>
      </c>
      <c r="B45" s="9" t="s">
        <v>37</v>
      </c>
      <c r="C45" s="9" t="s">
        <v>32</v>
      </c>
      <c r="D45" s="9" t="s">
        <v>41</v>
      </c>
      <c r="E45" s="9">
        <v>18</v>
      </c>
      <c r="F45" s="9">
        <v>75</v>
      </c>
      <c r="G45" s="13" t="str">
        <f t="shared" si="0"/>
        <v>PASS</v>
      </c>
    </row>
    <row r="46" spans="1:7" x14ac:dyDescent="0.3">
      <c r="A46" s="11">
        <v>46</v>
      </c>
      <c r="B46" s="12" t="s">
        <v>44</v>
      </c>
      <c r="C46" s="12" t="s">
        <v>35</v>
      </c>
      <c r="D46" s="12" t="s">
        <v>41</v>
      </c>
      <c r="E46" s="12">
        <v>31</v>
      </c>
      <c r="F46" s="12">
        <v>53</v>
      </c>
      <c r="G46" s="13" t="str">
        <f t="shared" si="0"/>
        <v>FAIL</v>
      </c>
    </row>
    <row r="47" spans="1:7" x14ac:dyDescent="0.3">
      <c r="A47" s="8">
        <v>47</v>
      </c>
      <c r="B47" s="9" t="s">
        <v>43</v>
      </c>
      <c r="C47" s="9" t="s">
        <v>38</v>
      </c>
      <c r="D47" s="9" t="s">
        <v>33</v>
      </c>
      <c r="E47" s="9">
        <v>19</v>
      </c>
      <c r="F47" s="9">
        <v>69</v>
      </c>
      <c r="G47" s="13" t="str">
        <f t="shared" si="0"/>
        <v>PASS</v>
      </c>
    </row>
    <row r="48" spans="1:7" x14ac:dyDescent="0.3">
      <c r="A48" s="11">
        <v>48</v>
      </c>
      <c r="B48" s="12" t="s">
        <v>46</v>
      </c>
      <c r="C48" s="12" t="s">
        <v>38</v>
      </c>
      <c r="D48" s="12" t="s">
        <v>36</v>
      </c>
      <c r="E48" s="12">
        <v>27</v>
      </c>
      <c r="F48" s="12">
        <v>97</v>
      </c>
      <c r="G48" s="13" t="str">
        <f t="shared" si="0"/>
        <v>PASS</v>
      </c>
    </row>
    <row r="49" spans="1:7" x14ac:dyDescent="0.3">
      <c r="A49" s="8">
        <v>49</v>
      </c>
      <c r="B49" s="9" t="s">
        <v>31</v>
      </c>
      <c r="C49" s="9" t="s">
        <v>35</v>
      </c>
      <c r="D49" s="9" t="s">
        <v>41</v>
      </c>
      <c r="E49" s="9">
        <v>26</v>
      </c>
      <c r="F49" s="9">
        <v>58</v>
      </c>
      <c r="G49" s="13" t="str">
        <f t="shared" si="0"/>
        <v>FAIL</v>
      </c>
    </row>
    <row r="50" spans="1:7" x14ac:dyDescent="0.3">
      <c r="A50" s="11">
        <v>50</v>
      </c>
      <c r="B50" s="12" t="s">
        <v>40</v>
      </c>
      <c r="C50" s="12" t="s">
        <v>32</v>
      </c>
      <c r="D50" s="12" t="s">
        <v>33</v>
      </c>
      <c r="E50" s="12">
        <v>24</v>
      </c>
      <c r="F50" s="12">
        <v>86</v>
      </c>
      <c r="G50" s="13" t="str">
        <f t="shared" si="0"/>
        <v>PASS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3C3A-7352-4713-96EF-1A8809CCC0E4}">
  <dimension ref="A1:I8"/>
  <sheetViews>
    <sheetView tabSelected="1" zoomScale="121" workbookViewId="0">
      <selection activeCell="A8" sqref="A8"/>
    </sheetView>
  </sheetViews>
  <sheetFormatPr defaultRowHeight="14.4" x14ac:dyDescent="0.3"/>
  <cols>
    <col min="1" max="1" width="12.6640625" customWidth="1"/>
    <col min="2" max="2" width="12.5546875" bestFit="1" customWidth="1"/>
    <col min="3" max="3" width="11.5546875" bestFit="1" customWidth="1"/>
    <col min="4" max="6" width="10.77734375" bestFit="1" customWidth="1"/>
    <col min="8" max="8" width="12.5546875" bestFit="1" customWidth="1"/>
    <col min="9" max="9" width="10" bestFit="1" customWidth="1"/>
  </cols>
  <sheetData>
    <row r="1" spans="1:9" x14ac:dyDescent="0.3">
      <c r="A1" t="s">
        <v>56</v>
      </c>
      <c r="B1" t="s">
        <v>57</v>
      </c>
      <c r="C1" t="s">
        <v>58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 x14ac:dyDescent="0.3">
      <c r="A2" t="s">
        <v>75</v>
      </c>
      <c r="B2" t="s">
        <v>59</v>
      </c>
      <c r="C2">
        <v>9856214327</v>
      </c>
      <c r="D2" t="str">
        <f>LEFT(Table2[[#This Row],[FULL NAME]],3)</f>
        <v>KEE</v>
      </c>
      <c r="E2" t="str">
        <f>RIGHT(Table2[[#This Row],[FULL NAME]],4)</f>
        <v>HI M</v>
      </c>
      <c r="F2" t="str">
        <f>MID(Table2[[#This Row],[FULL NAME]],2,4)</f>
        <v>EERT</v>
      </c>
      <c r="G2" t="str">
        <f>LOWER(Table2[[#This Row],[FULL NAME]])</f>
        <v>keerthi m</v>
      </c>
      <c r="H2" t="str">
        <f>UPPER(Table2[[#This Row],[CITY]])</f>
        <v>KOLLAM</v>
      </c>
      <c r="I2" t="str">
        <f>PROPER(Table2[[#This Row],[FULL NAME]])</f>
        <v>Keerthi M</v>
      </c>
    </row>
    <row r="3" spans="1:9" x14ac:dyDescent="0.3">
      <c r="A3" t="s">
        <v>76</v>
      </c>
      <c r="B3" t="s">
        <v>60</v>
      </c>
      <c r="C3">
        <v>9123584762</v>
      </c>
      <c r="D3" t="str">
        <f>LEFT(Table2[[#This Row],[FULL NAME]],3)</f>
        <v>RIY</v>
      </c>
      <c r="E3" t="str">
        <f>RIGHT(Table2[[#This Row],[FULL NAME]],4)</f>
        <v xml:space="preserve"> R S</v>
      </c>
      <c r="F3" t="str">
        <f>MID(Table2[[#This Row],[FULL NAME]],2,4)</f>
        <v xml:space="preserve">IYA </v>
      </c>
      <c r="G3" t="str">
        <f>LOWER(Table2[[#This Row],[FULL NAME]])</f>
        <v>riya r s</v>
      </c>
      <c r="H3" t="str">
        <f>UPPER(Table2[[#This Row],[CITY]])</f>
        <v>KOCHI</v>
      </c>
      <c r="I3" t="str">
        <f>PROPER(Table2[[#This Row],[FULL NAME]])</f>
        <v>Riya R S</v>
      </c>
    </row>
    <row r="4" spans="1:9" x14ac:dyDescent="0.3">
      <c r="A4" t="s">
        <v>77</v>
      </c>
      <c r="B4" t="s">
        <v>61</v>
      </c>
      <c r="C4">
        <v>9512714325</v>
      </c>
      <c r="D4" t="str">
        <f>LEFT(Table2[[#This Row],[FULL NAME]],3)</f>
        <v>KIR</v>
      </c>
      <c r="E4" t="str">
        <f>RIGHT(Table2[[#This Row],[FULL NAME]],4)</f>
        <v>AN M</v>
      </c>
      <c r="F4" t="str">
        <f>MID(Table2[[#This Row],[FULL NAME]],2,4)</f>
        <v>IRAN</v>
      </c>
      <c r="G4" t="str">
        <f>LOWER(Table2[[#This Row],[FULL NAME]])</f>
        <v>kiran m</v>
      </c>
      <c r="H4" t="str">
        <f>UPPER(Table2[[#This Row],[CITY]])</f>
        <v>TRIVANDRUM</v>
      </c>
      <c r="I4" t="str">
        <f>PROPER(Table2[[#This Row],[FULL NAME]])</f>
        <v>Kiran M</v>
      </c>
    </row>
    <row r="5" spans="1:9" x14ac:dyDescent="0.3">
      <c r="A5" t="s">
        <v>78</v>
      </c>
      <c r="B5" t="s">
        <v>62</v>
      </c>
      <c r="C5">
        <v>9875321568</v>
      </c>
      <c r="D5" t="str">
        <f>LEFT(Table2[[#This Row],[FULL NAME]],3)</f>
        <v>DHI</v>
      </c>
      <c r="E5" t="str">
        <f>RIGHT(Table2[[#This Row],[FULL NAME]],4)</f>
        <v>YA E</v>
      </c>
      <c r="F5" t="str">
        <f>MID(Table2[[#This Row],[FULL NAME]],2,4)</f>
        <v>HIYA</v>
      </c>
      <c r="G5" t="str">
        <f>LOWER(Table2[[#This Row],[FULL NAME]])</f>
        <v>dhiya e</v>
      </c>
      <c r="H5" t="str">
        <f>UPPER(Table2[[#This Row],[CITY]])</f>
        <v>KOZHIKODE</v>
      </c>
      <c r="I5" t="str">
        <f>PROPER(Table2[[#This Row],[FULL NAME]])</f>
        <v>Dhiya E</v>
      </c>
    </row>
    <row r="6" spans="1:9" x14ac:dyDescent="0.3">
      <c r="A6" t="s">
        <v>79</v>
      </c>
      <c r="B6" t="s">
        <v>63</v>
      </c>
      <c r="C6">
        <v>9325679841</v>
      </c>
      <c r="D6" t="str">
        <f>LEFT(Table2[[#This Row],[FULL NAME]],3)</f>
        <v>RAH</v>
      </c>
      <c r="E6" t="str">
        <f>RIGHT(Table2[[#This Row],[FULL NAME]],4)</f>
        <v>UL M</v>
      </c>
      <c r="F6" t="str">
        <f>MID(Table2[[#This Row],[FULL NAME]],2,4)</f>
        <v>AHUL</v>
      </c>
      <c r="G6" t="str">
        <f>LOWER(Table2[[#This Row],[FULL NAME]])</f>
        <v>rahul m</v>
      </c>
      <c r="H6" t="str">
        <f>UPPER(Table2[[#This Row],[CITY]])</f>
        <v>ALAPPUZHA</v>
      </c>
      <c r="I6" t="str">
        <f>PROPER(Table2[[#This Row],[FULL NAME]])</f>
        <v>Rahul M</v>
      </c>
    </row>
    <row r="7" spans="1:9" x14ac:dyDescent="0.3">
      <c r="A7" t="s">
        <v>114</v>
      </c>
      <c r="B7" t="s">
        <v>81</v>
      </c>
      <c r="C7">
        <v>9562143842</v>
      </c>
      <c r="D7" t="str">
        <f>LEFT(Table2[[#This Row],[FULL NAME]],3)</f>
        <v>pri</v>
      </c>
      <c r="E7" t="str">
        <f>RIGHT(Table2[[#This Row],[FULL NAME]],4)</f>
        <v>ya k</v>
      </c>
      <c r="F7" t="str">
        <f>MID(Table2[[#This Row],[FULL NAME]],2,4)</f>
        <v>riya</v>
      </c>
      <c r="G7" t="str">
        <f>LOWER(Table2[[#This Row],[FULL NAME]])</f>
        <v>priya k</v>
      </c>
      <c r="H7" t="str">
        <f>UPPER(Table2[[#This Row],[CITY]])</f>
        <v>KAYAMKULAM</v>
      </c>
      <c r="I7" t="str">
        <f>PROPER(Table2[[#This Row],[FULL NAME]])</f>
        <v>Priya K</v>
      </c>
    </row>
    <row r="8" spans="1:9" x14ac:dyDescent="0.3">
      <c r="A8" t="s">
        <v>107</v>
      </c>
      <c r="B8" t="s">
        <v>108</v>
      </c>
      <c r="C8">
        <v>9441464122</v>
      </c>
      <c r="D8" t="str">
        <f>LEFT(Table2[[#This Row],[FULL NAME]],3)</f>
        <v>SUJ</v>
      </c>
      <c r="E8" t="str">
        <f>RIGHT(Table2[[#This Row],[FULL NAME]],4)</f>
        <v>JA S</v>
      </c>
      <c r="F8" t="str">
        <f>MID(Table2[[#This Row],[FULL NAME]],2,4)</f>
        <v xml:space="preserve">UJA </v>
      </c>
      <c r="G8" t="str">
        <f>LOWER(Table2[[#This Row],[FULL NAME]])</f>
        <v>suja s</v>
      </c>
      <c r="H8" t="str">
        <f>UPPER(Table2[[#This Row],[CITY]])</f>
        <v>KOLLAM</v>
      </c>
      <c r="I8" t="str">
        <f>PROPER(Table2[[#This Row],[FULL NAME]])</f>
        <v>Suja S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6CF2-8F4F-4664-870E-F01D27B3722C}">
  <dimension ref="A1:F6"/>
  <sheetViews>
    <sheetView workbookViewId="0">
      <selection activeCell="F2" sqref="F2"/>
    </sheetView>
  </sheetViews>
  <sheetFormatPr defaultRowHeight="14.4" x14ac:dyDescent="0.3"/>
  <cols>
    <col min="1" max="1" width="13.21875" customWidth="1"/>
    <col min="2" max="2" width="12.77734375" customWidth="1"/>
    <col min="3" max="3" width="11.6640625" customWidth="1"/>
    <col min="4" max="4" width="11" bestFit="1" customWidth="1"/>
    <col min="5" max="5" width="13" bestFit="1" customWidth="1"/>
    <col min="6" max="6" width="12.6640625" customWidth="1"/>
  </cols>
  <sheetData>
    <row r="1" spans="1:6" x14ac:dyDescent="0.3">
      <c r="A1" t="s">
        <v>70</v>
      </c>
      <c r="B1" t="s">
        <v>71</v>
      </c>
      <c r="C1" t="s">
        <v>72</v>
      </c>
      <c r="D1" t="s">
        <v>58</v>
      </c>
      <c r="E1" t="s">
        <v>73</v>
      </c>
      <c r="F1" t="s">
        <v>74</v>
      </c>
    </row>
    <row r="2" spans="1:6" x14ac:dyDescent="0.3">
      <c r="A2" t="str">
        <f>LEFT(Sheet4!A2, FIND(" ", Sheet4!A2) -1)</f>
        <v>KEERTHI</v>
      </c>
      <c r="B2" t="str">
        <f>RIGHT(Sheet4!A2, LEN(Sheet4!A2) - FIND(" ", Sheet4!A2))</f>
        <v>M</v>
      </c>
      <c r="C2" t="str">
        <f>LEFT(Sheet4!B2,3)</f>
        <v>KOL</v>
      </c>
      <c r="D2">
        <f>Sheet4!C2</f>
        <v>9856214327</v>
      </c>
      <c r="E2" t="str">
        <f>_xlfn.CONCAT(A2,"_",B2)</f>
        <v>KEERTHI_M</v>
      </c>
      <c r="F2" t="str">
        <f>_xlfn.CONCAT(A2, RIGHT(D2,4))</f>
        <v>KEERTHI4327</v>
      </c>
    </row>
    <row r="3" spans="1:6" x14ac:dyDescent="0.3">
      <c r="A3" t="str">
        <f>LEFT(Sheet4!A3, FIND(" ", Sheet4!A3) -1)</f>
        <v>RIYA</v>
      </c>
      <c r="B3" t="str">
        <f>RIGHT(Sheet4!A3, LEN(Sheet4!A3) - FIND(" ", Sheet4!A3))</f>
        <v>R S</v>
      </c>
      <c r="C3" t="str">
        <f>LEFT(Sheet4!B3,3)</f>
        <v>KOC</v>
      </c>
      <c r="D3">
        <f>Sheet4!C3</f>
        <v>9123584762</v>
      </c>
      <c r="E3" t="str">
        <f>_xlfn.CONCAT(A3, "_", B3)</f>
        <v>RIYA_R S</v>
      </c>
      <c r="F3" t="str">
        <f>_xlfn.CONCAT(A3, RIGHT(D3,4))</f>
        <v>RIYA4762</v>
      </c>
    </row>
    <row r="4" spans="1:6" x14ac:dyDescent="0.3">
      <c r="A4" t="str">
        <f>LEFT(Sheet4!A4, FIND(" ", Sheet4!A4) -1)</f>
        <v>KIRAN</v>
      </c>
      <c r="B4" t="str">
        <f>RIGHT(Sheet4!A4, LEN(Sheet4!A4) - FIND(" ", Sheet4!A4))</f>
        <v>M</v>
      </c>
      <c r="C4" t="str">
        <f>LEFT(Sheet4!B4,3)</f>
        <v>TRI</v>
      </c>
      <c r="D4">
        <f>Sheet4!C4</f>
        <v>9512714325</v>
      </c>
      <c r="E4" t="str">
        <f t="shared" ref="E4:E6" si="0">_xlfn.CONCAT(A4, "_", B4)</f>
        <v>KIRAN_M</v>
      </c>
      <c r="F4" t="str">
        <f t="shared" ref="F4:F6" si="1">_xlfn.CONCAT(A4, RIGHT(D4,4))</f>
        <v>KIRAN4325</v>
      </c>
    </row>
    <row r="5" spans="1:6" x14ac:dyDescent="0.3">
      <c r="A5" t="str">
        <f>LEFT(Sheet4!A5, FIND(" ", Sheet4!A5) -1)</f>
        <v>DHIYA</v>
      </c>
      <c r="B5" t="str">
        <f>RIGHT(Sheet4!A5, LEN(Sheet4!A5) - FIND(" ", Sheet4!A5))</f>
        <v>E</v>
      </c>
      <c r="C5" t="str">
        <f>LEFT(Sheet4!B5,3)</f>
        <v>KOZ</v>
      </c>
      <c r="D5">
        <f>Sheet4!C5</f>
        <v>9875321568</v>
      </c>
      <c r="E5" t="str">
        <f t="shared" si="0"/>
        <v>DHIYA_E</v>
      </c>
      <c r="F5" t="str">
        <f t="shared" si="1"/>
        <v>DHIYA1568</v>
      </c>
    </row>
    <row r="6" spans="1:6" x14ac:dyDescent="0.3">
      <c r="A6" t="str">
        <f>LEFT(Sheet4!A6, FIND(" ", Sheet4!A6) -1)</f>
        <v>RAHUL</v>
      </c>
      <c r="B6" t="str">
        <f>RIGHT(Sheet4!A6, LEN(Sheet4!A6) - FIND(" ", Sheet4!A6))</f>
        <v>M</v>
      </c>
      <c r="C6" t="str">
        <f>LEFT(Sheet4!B6,3)</f>
        <v>ALA</v>
      </c>
      <c r="D6">
        <f>Sheet4!C6</f>
        <v>9325679841</v>
      </c>
      <c r="E6" t="str">
        <f t="shared" si="0"/>
        <v>RAHUL_M</v>
      </c>
      <c r="F6" t="str">
        <f t="shared" si="1"/>
        <v>RAHUL9841</v>
      </c>
    </row>
  </sheetData>
  <pageMargins left="0.7" right="0.7" top="0.75" bottom="0.75" header="0.3" footer="0.3"/>
  <ignoredErrors>
    <ignoredError sqref="E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EC26-C69A-4803-ACE6-00E5A88400BE}">
  <dimension ref="A1:F8"/>
  <sheetViews>
    <sheetView workbookViewId="0">
      <selection sqref="A1:F8"/>
    </sheetView>
  </sheetViews>
  <sheetFormatPr defaultRowHeight="14.4" x14ac:dyDescent="0.3"/>
  <cols>
    <col min="1" max="1" width="13.5546875" bestFit="1" customWidth="1"/>
    <col min="2" max="2" width="13.109375" bestFit="1" customWidth="1"/>
    <col min="3" max="3" width="12" bestFit="1" customWidth="1"/>
    <col min="4" max="4" width="11" bestFit="1" customWidth="1"/>
    <col min="5" max="6" width="13" bestFit="1" customWidth="1"/>
  </cols>
  <sheetData>
    <row r="1" spans="1:6" x14ac:dyDescent="0.3">
      <c r="A1" t="s">
        <v>70</v>
      </c>
      <c r="B1" t="s">
        <v>71</v>
      </c>
      <c r="C1" t="s">
        <v>72</v>
      </c>
      <c r="D1" t="s">
        <v>58</v>
      </c>
      <c r="E1" t="s">
        <v>73</v>
      </c>
      <c r="F1" t="s">
        <v>74</v>
      </c>
    </row>
    <row r="2" spans="1:6" x14ac:dyDescent="0.3">
      <c r="A2" t="s">
        <v>82</v>
      </c>
      <c r="B2" t="s">
        <v>83</v>
      </c>
      <c r="C2" t="s">
        <v>84</v>
      </c>
      <c r="D2">
        <v>9856214327</v>
      </c>
      <c r="E2" t="s">
        <v>85</v>
      </c>
      <c r="F2" t="s">
        <v>86</v>
      </c>
    </row>
    <row r="3" spans="1:6" x14ac:dyDescent="0.3">
      <c r="A3" t="s">
        <v>87</v>
      </c>
      <c r="B3" t="s">
        <v>88</v>
      </c>
      <c r="C3" t="s">
        <v>89</v>
      </c>
      <c r="D3">
        <v>9123584762</v>
      </c>
      <c r="E3" t="s">
        <v>90</v>
      </c>
      <c r="F3" t="s">
        <v>91</v>
      </c>
    </row>
    <row r="4" spans="1:6" x14ac:dyDescent="0.3">
      <c r="A4" t="s">
        <v>92</v>
      </c>
      <c r="B4" t="s">
        <v>83</v>
      </c>
      <c r="C4" t="s">
        <v>93</v>
      </c>
      <c r="D4">
        <v>9512714325</v>
      </c>
      <c r="E4" t="s">
        <v>94</v>
      </c>
      <c r="F4" t="s">
        <v>95</v>
      </c>
    </row>
    <row r="5" spans="1:6" x14ac:dyDescent="0.3">
      <c r="A5" t="s">
        <v>96</v>
      </c>
      <c r="B5" t="s">
        <v>97</v>
      </c>
      <c r="C5" t="s">
        <v>98</v>
      </c>
      <c r="D5">
        <v>9875321568</v>
      </c>
      <c r="E5" t="s">
        <v>99</v>
      </c>
      <c r="F5" t="s">
        <v>100</v>
      </c>
    </row>
    <row r="6" spans="1:6" x14ac:dyDescent="0.3">
      <c r="A6" t="s">
        <v>101</v>
      </c>
      <c r="B6" t="s">
        <v>83</v>
      </c>
      <c r="C6" t="s">
        <v>102</v>
      </c>
      <c r="D6">
        <v>9325679841</v>
      </c>
      <c r="E6" t="s">
        <v>103</v>
      </c>
      <c r="F6" t="s">
        <v>104</v>
      </c>
    </row>
    <row r="7" spans="1:6" x14ac:dyDescent="0.3">
      <c r="A7" t="s">
        <v>80</v>
      </c>
      <c r="B7" t="s">
        <v>115</v>
      </c>
      <c r="C7" t="s">
        <v>105</v>
      </c>
      <c r="D7">
        <v>9562143842</v>
      </c>
      <c r="E7" t="s">
        <v>116</v>
      </c>
      <c r="F7" t="s">
        <v>106</v>
      </c>
    </row>
    <row r="8" spans="1:6" x14ac:dyDescent="0.3">
      <c r="A8" t="s">
        <v>109</v>
      </c>
      <c r="B8" t="s">
        <v>110</v>
      </c>
      <c r="C8" t="s">
        <v>111</v>
      </c>
      <c r="D8">
        <v>9441464122</v>
      </c>
      <c r="E8" t="s">
        <v>112</v>
      </c>
      <c r="F8" t="s">
        <v>113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8B9A7-9C81-49A3-BE80-91E308329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Data_Analytics_Excel_Practice_D</vt:lpstr>
      <vt:lpstr>FUNCTIONS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2026-07-14T05:04:28Z</dcterms:created>
  <dcterms:modified xsi:type="dcterms:W3CDTF">2026-07-20T16:20:54Z</dcterms:modified>
</cp:coreProperties>
</file>