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"/>
    </mc:Choice>
  </mc:AlternateContent>
  <xr:revisionPtr revIDLastSave="147" documentId="8_{E783C109-DEBB-46CE-824D-4D09ADCFBADB}" xr6:coauthVersionLast="47" xr6:coauthVersionMax="47" xr10:uidLastSave="{F906A0A8-D97C-4446-BB23-C8E0FAAFA5A7}"/>
  <bookViews>
    <workbookView xWindow="-108" yWindow="-108" windowWidth="23256" windowHeight="12456" activeTab="3" xr2:uid="{BF0B892C-491D-48F3-B09E-CE0F0110BA0C}"/>
  </bookViews>
  <sheets>
    <sheet name="QUESTION NO.1" sheetId="1" r:id="rId1"/>
    <sheet name="QUESTION NO.2" sheetId="2" r:id="rId2"/>
    <sheet name="QUESTION NO.4" sheetId="3" r:id="rId3"/>
    <sheet name="QUESTION NO.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L2" i="4"/>
  <c r="J2" i="4"/>
  <c r="F2" i="4" l="1"/>
  <c r="D2" i="4"/>
  <c r="D3" i="4"/>
  <c r="D4" i="4"/>
  <c r="D5" i="4"/>
  <c r="D6" i="4"/>
  <c r="J2" i="3"/>
  <c r="H2" i="3"/>
  <c r="F2" i="3"/>
  <c r="D2" i="3"/>
  <c r="K2" i="2"/>
  <c r="I2" i="2"/>
  <c r="G2" i="2"/>
  <c r="E2" i="2"/>
  <c r="C2" i="2"/>
</calcChain>
</file>

<file path=xl/sharedStrings.xml><?xml version="1.0" encoding="utf-8"?>
<sst xmlns="http://schemas.openxmlformats.org/spreadsheetml/2006/main" count="47" uniqueCount="44">
  <si>
    <t>Order ID        Customer Name        Product        Category        Sales        Feedback</t>
  </si>
  <si>
    <t>101        Ravi        Laptop        Electronics        50000        Good quality</t>
  </si>
  <si>
    <t>102        Meera        Shoes        Fashion        3000        Comfortable</t>
  </si>
  <si>
    <t>103        Arun        Phone        Electronics        20000        Excellent</t>
  </si>
  <si>
    <t>104        Diya        Watch        Fashion        2500        Nice design</t>
  </si>
  <si>
    <t xml:space="preserve">Q1-Type of data set-  STRUCTURED   </t>
  </si>
  <si>
    <t>Q2- TYPE OF DATA(FEEDBACK)-   STRUCTURED</t>
  </si>
  <si>
    <t>Q3- STAGES OF DATA ANALYSTICS-  DATA COLLECTION, DATA CLEANING, DATA ANALYSIS, DATA MODELING, DATA VISUALIZATION AND DATA MAKING</t>
  </si>
  <si>
    <t>Q4- STAGE OF CLEANING MISSING VALUES - DATA CLEANING</t>
  </si>
  <si>
    <t>Q5- STAGE OF CREATING CHARTS OR REPORTS-  DATA VISUALIZATION</t>
  </si>
  <si>
    <t>STUDENT MARKS</t>
  </si>
  <si>
    <t>Q1- MEAN</t>
  </si>
  <si>
    <t>Q2-MEDIAN</t>
  </si>
  <si>
    <t>Q3-MODE</t>
  </si>
  <si>
    <t>Q4-VARIANCE</t>
  </si>
  <si>
    <t>Q5- S.D</t>
  </si>
  <si>
    <t>Q6- SPREAD OF DATA</t>
  </si>
  <si>
    <t>VARIANCE</t>
  </si>
  <si>
    <t>MONTH</t>
  </si>
  <si>
    <t>SALES</t>
  </si>
  <si>
    <t>JAN</t>
  </si>
  <si>
    <t>FEB</t>
  </si>
  <si>
    <t>MAR</t>
  </si>
  <si>
    <t>APR</t>
  </si>
  <si>
    <t>MAY</t>
  </si>
  <si>
    <t>Q1- TOTAL SALES</t>
  </si>
  <si>
    <t>Q2- MIN SALES</t>
  </si>
  <si>
    <t>Q3- MAX SALES</t>
  </si>
  <si>
    <t>Q4-NO.OF MONTHS</t>
  </si>
  <si>
    <t>NAME</t>
  </si>
  <si>
    <t>DEPARTMENT</t>
  </si>
  <si>
    <t>MARKS</t>
  </si>
  <si>
    <t>ANU</t>
  </si>
  <si>
    <t>RAHUL</t>
  </si>
  <si>
    <t>SNEHA</t>
  </si>
  <si>
    <t>ARJUN</t>
  </si>
  <si>
    <t>MEENA</t>
  </si>
  <si>
    <t>SCIENCE</t>
  </si>
  <si>
    <t>COMMERCE</t>
  </si>
  <si>
    <t>PASS/FAIL</t>
  </si>
  <si>
    <t>AVERAGE MARKS</t>
  </si>
  <si>
    <t>NO.OF STUDENTS SCORED MORE THAN 60</t>
  </si>
  <si>
    <t>TOTAL MARKS OF SCIENCE STUDENTS</t>
  </si>
  <si>
    <t>AVERAGE MARKS OF COMMERCE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</si>
</sst>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.6"/>
      <color rgb="FF21252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FF96CD-54C9-4ADA-9455-74713156D372}" name="Table1" displayName="Table1" ref="A1:B6" totalsRowShown="0">
  <autoFilter ref="A1:B6" xr:uid="{A0FF96CD-54C9-4ADA-9455-74713156D372}"/>
  <tableColumns count="2">
    <tableColumn id="1" xr3:uid="{FF01ECFF-9E78-4CFA-A68E-D6AE9269135C}" name="MONTH"/>
    <tableColumn id="2" xr3:uid="{09629E20-406E-4CC6-AA61-0C4B6C53A5D0}" name="SALE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3740A0-BB31-4683-83A4-FB6A4BC219AD}" name="Table2" displayName="Table2" ref="A1:D6" totalsRowShown="0">
  <autoFilter ref="A1:D6" xr:uid="{453740A0-BB31-4683-83A4-FB6A4BC219AD}"/>
  <tableColumns count="4">
    <tableColumn id="1" xr3:uid="{412870F4-9B2D-4206-BA5C-F947EDD83333}" name="NAME"/>
    <tableColumn id="2" xr3:uid="{51A08FF6-4C28-48F3-AA61-28E0E584F5C3}" name="DEPARTMENT"/>
    <tableColumn id="3" xr3:uid="{FE74F3F3-8CE9-4E63-AA34-FC76CE9B71A9}" name="MARKS"/>
    <tableColumn id="4" xr3:uid="{EB68F7E8-7FF0-40F4-BB03-9242C9FE4B08}" name="PASS/FAIL" dataDxfId="0">
      <calculatedColumnFormula>IF(Table2[[#This Row],[MARKS]]&gt;=50, 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9195-D7AD-4A4D-95C8-2E590CC10DC7}">
  <dimension ref="A1:A20"/>
  <sheetViews>
    <sheetView workbookViewId="0">
      <selection activeCell="A5" sqref="A5"/>
    </sheetView>
  </sheetViews>
  <sheetFormatPr defaultRowHeight="14.4" x14ac:dyDescent="0.3"/>
  <cols>
    <col min="1" max="1" width="126.2187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8" spans="1:1" x14ac:dyDescent="0.3">
      <c r="A8" s="1"/>
    </row>
    <row r="12" spans="1:1" x14ac:dyDescent="0.3">
      <c r="A12" t="s">
        <v>5</v>
      </c>
    </row>
    <row r="14" spans="1:1" x14ac:dyDescent="0.3">
      <c r="A14" t="s">
        <v>6</v>
      </c>
    </row>
    <row r="16" spans="1:1" x14ac:dyDescent="0.3">
      <c r="A16" t="s">
        <v>7</v>
      </c>
    </row>
    <row r="18" spans="1:1" x14ac:dyDescent="0.3">
      <c r="A18" t="s">
        <v>8</v>
      </c>
    </row>
    <row r="20" spans="1:1" x14ac:dyDescent="0.3">
      <c r="A2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E163-7DB4-4201-8DE8-F2E662D299CC}">
  <dimension ref="A1:M7"/>
  <sheetViews>
    <sheetView workbookViewId="0">
      <selection activeCell="M5" sqref="M5"/>
    </sheetView>
  </sheetViews>
  <sheetFormatPr defaultRowHeight="14.4" x14ac:dyDescent="0.3"/>
  <cols>
    <col min="1" max="1" width="15.109375" bestFit="1" customWidth="1"/>
    <col min="3" max="3" width="9.5546875" bestFit="1" customWidth="1"/>
    <col min="5" max="5" width="10.88671875" bestFit="1" customWidth="1"/>
    <col min="7" max="7" width="9.21875" bestFit="1" customWidth="1"/>
    <col min="9" max="9" width="12.44140625" bestFit="1" customWidth="1"/>
    <col min="13" max="13" width="18.5546875" bestFit="1" customWidth="1"/>
  </cols>
  <sheetData>
    <row r="1" spans="1:13" x14ac:dyDescent="0.3">
      <c r="A1" t="s">
        <v>10</v>
      </c>
      <c r="C1" t="s">
        <v>11</v>
      </c>
      <c r="E1" t="s">
        <v>12</v>
      </c>
      <c r="G1" t="s">
        <v>13</v>
      </c>
      <c r="I1" t="s">
        <v>14</v>
      </c>
      <c r="K1" t="s">
        <v>15</v>
      </c>
      <c r="M1" t="s">
        <v>16</v>
      </c>
    </row>
    <row r="2" spans="1:13" x14ac:dyDescent="0.3">
      <c r="A2">
        <v>45</v>
      </c>
      <c r="C2">
        <f>AVERAGE(A2:A7)</f>
        <v>60</v>
      </c>
      <c r="E2">
        <f>MEDIAN(A2:A7)</f>
        <v>60</v>
      </c>
      <c r="G2">
        <f>MODE(A2:A7)</f>
        <v>60</v>
      </c>
      <c r="I2">
        <f>_xlfn.VAR.S(A2:A7)</f>
        <v>450</v>
      </c>
      <c r="K2">
        <f>_xlfn.STDEV.S(A2:A7)</f>
        <v>21.213203435596427</v>
      </c>
      <c r="M2" t="s">
        <v>17</v>
      </c>
    </row>
    <row r="3" spans="1:13" x14ac:dyDescent="0.3">
      <c r="A3">
        <v>60</v>
      </c>
    </row>
    <row r="4" spans="1:13" x14ac:dyDescent="0.3">
      <c r="A4">
        <v>75</v>
      </c>
    </row>
    <row r="5" spans="1:13" x14ac:dyDescent="0.3">
      <c r="A5">
        <v>60</v>
      </c>
    </row>
    <row r="6" spans="1:13" x14ac:dyDescent="0.3">
      <c r="A6">
        <v>90</v>
      </c>
    </row>
    <row r="7" spans="1:13" x14ac:dyDescent="0.3">
      <c r="A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E24A-C6F9-455E-92DD-F89E3B3CA2A7}">
  <dimension ref="A1:J6"/>
  <sheetViews>
    <sheetView workbookViewId="0">
      <selection activeCell="I3" sqref="I3"/>
    </sheetView>
  </sheetViews>
  <sheetFormatPr defaultRowHeight="14.4" x14ac:dyDescent="0.3"/>
  <cols>
    <col min="1" max="1" width="9.5546875" customWidth="1"/>
    <col min="4" max="4" width="15.109375" bestFit="1" customWidth="1"/>
    <col min="6" max="6" width="13.33203125" bestFit="1" customWidth="1"/>
    <col min="8" max="8" width="13.5546875" bestFit="1" customWidth="1"/>
    <col min="10" max="10" width="17.5546875" bestFit="1" customWidth="1"/>
  </cols>
  <sheetData>
    <row r="1" spans="1:10" x14ac:dyDescent="0.3">
      <c r="A1" t="s">
        <v>18</v>
      </c>
      <c r="B1" t="s">
        <v>19</v>
      </c>
      <c r="D1" t="s">
        <v>25</v>
      </c>
      <c r="F1" t="s">
        <v>26</v>
      </c>
      <c r="H1" t="s">
        <v>27</v>
      </c>
      <c r="J1" t="s">
        <v>28</v>
      </c>
    </row>
    <row r="2" spans="1:10" x14ac:dyDescent="0.3">
      <c r="A2" t="s">
        <v>20</v>
      </c>
      <c r="B2">
        <v>10000</v>
      </c>
      <c r="D2">
        <f>SUM(Table1[SALES])</f>
        <v>71000</v>
      </c>
      <c r="F2">
        <f>MIN(Table1[SALES])</f>
        <v>10000</v>
      </c>
      <c r="H2">
        <f>MAX(Table1[SALES])</f>
        <v>18000</v>
      </c>
      <c r="J2">
        <f>COUNT(Table1[SALES])</f>
        <v>5</v>
      </c>
    </row>
    <row r="3" spans="1:10" x14ac:dyDescent="0.3">
      <c r="A3" t="s">
        <v>21</v>
      </c>
      <c r="B3">
        <v>15000</v>
      </c>
    </row>
    <row r="4" spans="1:10" x14ac:dyDescent="0.3">
      <c r="A4" t="s">
        <v>22</v>
      </c>
      <c r="B4">
        <v>12000</v>
      </c>
    </row>
    <row r="5" spans="1:10" x14ac:dyDescent="0.3">
      <c r="A5" t="s">
        <v>23</v>
      </c>
      <c r="B5">
        <v>18000</v>
      </c>
    </row>
    <row r="6" spans="1:10" x14ac:dyDescent="0.3">
      <c r="A6" t="s">
        <v>24</v>
      </c>
      <c r="B6">
        <v>16000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166C-E48A-4BC6-83AA-FB5583B7B1B8}">
  <dimension ref="A1:L6"/>
  <sheetViews>
    <sheetView tabSelected="1" workbookViewId="0">
      <selection activeCell="H3" sqref="H3"/>
    </sheetView>
  </sheetViews>
  <sheetFormatPr defaultRowHeight="14.4" x14ac:dyDescent="0.3"/>
  <cols>
    <col min="2" max="2" width="14.6640625" customWidth="1"/>
    <col min="3" max="3" width="9.109375" customWidth="1"/>
    <col min="4" max="4" width="12" bestFit="1" customWidth="1"/>
    <col min="6" max="6" width="15" bestFit="1" customWidth="1"/>
    <col min="8" max="8" width="36.44140625" bestFit="1" customWidth="1"/>
    <col min="10" max="10" width="32.33203125" bestFit="1" customWidth="1"/>
    <col min="12" max="12" width="37.88671875" bestFit="1" customWidth="1"/>
  </cols>
  <sheetData>
    <row r="1" spans="1:12" x14ac:dyDescent="0.3">
      <c r="A1" t="s">
        <v>29</v>
      </c>
      <c r="B1" t="s">
        <v>30</v>
      </c>
      <c r="C1" t="s">
        <v>31</v>
      </c>
      <c r="D1" t="s">
        <v>39</v>
      </c>
      <c r="F1" t="s">
        <v>40</v>
      </c>
      <c r="H1" t="s">
        <v>41</v>
      </c>
      <c r="J1" t="s">
        <v>42</v>
      </c>
      <c r="L1" t="s">
        <v>43</v>
      </c>
    </row>
    <row r="2" spans="1:12" x14ac:dyDescent="0.3">
      <c r="A2" t="s">
        <v>32</v>
      </c>
      <c r="B2" t="s">
        <v>37</v>
      </c>
      <c r="C2">
        <v>85</v>
      </c>
      <c r="D2" t="str">
        <f>IF(Table2[[#This Row],[MARKS]]&gt;=50, "PASS","FAIL")</f>
        <v>PASS</v>
      </c>
      <c r="F2">
        <f>AVERAGE(Table2[MARKS])</f>
        <v>68</v>
      </c>
      <c r="H2">
        <f>COUNTIF(Table2[MARKS],"&gt;=60")</f>
        <v>3</v>
      </c>
      <c r="J2">
        <f>SUMIF(Table2[DEPARTMENT],Table2[[#This Row],[DEPARTMENT]],Table2[MARKS])</f>
        <v>215</v>
      </c>
      <c r="L2">
        <f>AVERAGEIF(Table2[DEPARTMENT],B3,Table2[MARKS])</f>
        <v>62.5</v>
      </c>
    </row>
    <row r="3" spans="1:12" x14ac:dyDescent="0.3">
      <c r="A3" t="s">
        <v>33</v>
      </c>
      <c r="B3" t="s">
        <v>38</v>
      </c>
      <c r="C3">
        <v>55</v>
      </c>
      <c r="D3" t="str">
        <f>IF(Table2[[#This Row],[MARKS]]&gt;=50, "PASS","FAIL")</f>
        <v>PASS</v>
      </c>
    </row>
    <row r="4" spans="1:12" x14ac:dyDescent="0.3">
      <c r="A4" t="s">
        <v>34</v>
      </c>
      <c r="B4" t="s">
        <v>37</v>
      </c>
      <c r="C4">
        <v>40</v>
      </c>
      <c r="D4" t="str">
        <f>IF(Table2[[#This Row],[MARKS]]&gt;=50, "PASS","FAIL")</f>
        <v>FAIL</v>
      </c>
    </row>
    <row r="5" spans="1:12" x14ac:dyDescent="0.3">
      <c r="A5" t="s">
        <v>35</v>
      </c>
      <c r="B5" t="s">
        <v>38</v>
      </c>
      <c r="C5">
        <v>70</v>
      </c>
      <c r="D5" t="str">
        <f>IF(Table2[[#This Row],[MARKS]]&gt;=50, "PASS","FAIL")</f>
        <v>PASS</v>
      </c>
    </row>
    <row r="6" spans="1:12" x14ac:dyDescent="0.3">
      <c r="A6" t="s">
        <v>36</v>
      </c>
      <c r="B6" t="s">
        <v>37</v>
      </c>
      <c r="C6">
        <v>90</v>
      </c>
      <c r="D6" t="str">
        <f>IF(Table2[[#This Row],[MARKS]]&gt;=50, "PASS","FAIL")</f>
        <v>PASS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NO.1</vt:lpstr>
      <vt:lpstr>QUESTION NO.2</vt:lpstr>
      <vt:lpstr>QUESTION NO.4</vt:lpstr>
      <vt:lpstr>QUESTION NO.5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2026-07-15T11:35:16Z</dcterms:created>
  <dcterms:modified xsi:type="dcterms:W3CDTF">2026-07-15T12:17:55Z</dcterms:modified>
</cp:coreProperties>
</file>