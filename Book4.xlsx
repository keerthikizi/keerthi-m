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38" documentId="8_{76E108BE-E377-478D-B38F-3FF1C7967EF4}" xr6:coauthVersionLast="47" xr6:coauthVersionMax="47" xr10:uidLastSave="{229EC857-9157-470E-8593-832BEE7BBD9C}"/>
  <bookViews>
    <workbookView xWindow="-108" yWindow="-108" windowWidth="23256" windowHeight="12456" activeTab="2" xr2:uid="{8B9E2436-D718-42DE-BA51-3870B98DFE03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" l="1"/>
  <c r="I4" i="3"/>
  <c r="I5" i="3"/>
  <c r="I7" i="3"/>
  <c r="I8" i="3"/>
  <c r="I10" i="3"/>
  <c r="G4" i="3"/>
  <c r="G5" i="3"/>
  <c r="G6" i="3"/>
  <c r="G7" i="3"/>
  <c r="G8" i="3"/>
  <c r="G9" i="3"/>
  <c r="G10" i="3"/>
  <c r="F4" i="3"/>
  <c r="F5" i="3"/>
  <c r="F6" i="3"/>
  <c r="F7" i="3"/>
  <c r="F8" i="3"/>
  <c r="F9" i="3"/>
  <c r="F10" i="3"/>
  <c r="E4" i="3"/>
  <c r="E5" i="3"/>
  <c r="E6" i="3"/>
  <c r="E7" i="3"/>
  <c r="E8" i="3"/>
  <c r="E9" i="3"/>
  <c r="E10" i="3"/>
  <c r="D5" i="3"/>
  <c r="D6" i="3"/>
  <c r="D7" i="3"/>
  <c r="D8" i="3"/>
  <c r="D9" i="3"/>
  <c r="D10" i="3"/>
  <c r="D4" i="3"/>
  <c r="C5" i="3"/>
  <c r="C6" i="3"/>
  <c r="C7" i="3"/>
  <c r="C8" i="3"/>
  <c r="C9" i="3"/>
  <c r="C10" i="3"/>
  <c r="C4" i="3"/>
  <c r="B5" i="3"/>
  <c r="B6" i="3"/>
  <c r="B7" i="3"/>
  <c r="B8" i="3"/>
  <c r="B9" i="3"/>
  <c r="B10" i="3"/>
  <c r="B4" i="3"/>
  <c r="A2" i="3"/>
  <c r="A1" i="3"/>
</calcChain>
</file>

<file path=xl/sharedStrings.xml><?xml version="1.0" encoding="utf-8"?>
<sst xmlns="http://schemas.openxmlformats.org/spreadsheetml/2006/main" count="36" uniqueCount="36">
  <si>
    <t>student name</t>
  </si>
  <si>
    <t>marks</t>
  </si>
  <si>
    <t>keerthi m</t>
  </si>
  <si>
    <t>riya</t>
  </si>
  <si>
    <t>dhiya</t>
  </si>
  <si>
    <t>salpha</t>
  </si>
  <si>
    <t>akshay</t>
  </si>
  <si>
    <t>sooraj</t>
  </si>
  <si>
    <t>gokul</t>
  </si>
  <si>
    <t>amruth</t>
  </si>
  <si>
    <t>afin</t>
  </si>
  <si>
    <t>vaishnav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</si>
  <si>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</si>
  <si>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</si>
  <si>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</si>
  <si>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</si>
  <si>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</si>
  <si>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</si>
  <si>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</si>
  <si>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</si>
  <si>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</si>
  <si>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</si>
  <si>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</si>
  <si>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</si>
  <si>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</si>
  <si>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</si>
  <si>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date</t>
  </si>
  <si>
    <t>year</t>
  </si>
  <si>
    <t>month</t>
  </si>
  <si>
    <t>week day</t>
  </si>
  <si>
    <t>text month</t>
  </si>
  <si>
    <t>text day</t>
  </si>
  <si>
    <t>datedif</t>
  </si>
  <si>
    <t>year+month</t>
  </si>
  <si>
    <t>=datedif([@date],TODAY(),"y")&amp;"years, "&amp;datedif([@date],TODAY(),"ym")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</si>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</sst>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22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D2B0E-B432-4967-AC33-A4F18F9A2C23}" name="Table2" displayName="Table2" ref="A3:I10" totalsRowShown="0">
  <autoFilter ref="A3:I10" xr:uid="{386D2B0E-B432-4967-AC33-A4F18F9A2C23}"/>
  <tableColumns count="9">
    <tableColumn id="1" xr3:uid="{71683D32-3D89-4B34-BCEE-E1A5FB8C4A3B}" name="date" dataDxfId="8"/>
    <tableColumn id="2" xr3:uid="{3BC17B3D-4CAD-4B6C-993C-F297E6B6377F}" name="year" dataDxfId="7">
      <calculatedColumnFormula>YEAR(Table2[[#This Row],[date]])</calculatedColumnFormula>
    </tableColumn>
    <tableColumn id="3" xr3:uid="{9B2F0093-895C-448B-A4BB-795852BD47AA}" name="month" dataDxfId="6">
      <calculatedColumnFormula>MONTH(Table2[[#This Row],[date]])</calculatedColumnFormula>
    </tableColumn>
    <tableColumn id="4" xr3:uid="{9B6B9494-3F29-4335-AA3C-AE3AF5173872}" name="week day" dataDxfId="5">
      <calculatedColumnFormula>WEEKDAY(Table2[[#This Row],[date]])</calculatedColumnFormula>
    </tableColumn>
    <tableColumn id="6" xr3:uid="{CB3DB6C2-1BCB-44C9-B335-261A2196FB64}" name="text month" dataDxfId="4">
      <calculatedColumnFormula>TEXT(Table2[[#This Row],[date]],"mm")</calculatedColumnFormula>
    </tableColumn>
    <tableColumn id="7" xr3:uid="{20F847D5-EE34-4FB0-B3A6-4AC42070170D}" name="text day" dataDxfId="3">
      <calculatedColumnFormula>TEXT(Table2[[#This Row],[date]],"dd")</calculatedColumnFormula>
    </tableColumn>
    <tableColumn id="5" xr3:uid="{2C550D73-8CDA-4B74-A6DE-D9BCBD97D79F}" name="datedif" dataDxfId="2">
      <calculatedColumnFormula>DATEDIF(Table2[[#This Row],[date]],TODAY(),"y")</calculatedColumnFormula>
    </tableColumn>
    <tableColumn id="8" xr3:uid="{F8DA0AA4-AA9B-416F-9DD8-36D40DAFAC8E}" name="year+month" dataDxfId="1"/>
    <tableColumn id="9" xr3:uid="{D843457E-3D47-47B7-A3D4-995F5FB45DDC}" name="if" dataDxfId="0">
      <calculatedColumnFormula>IF(TEXT(Table2[[#This Row],[date]],"mmdd")=TEXT(TODAY(),"mmdd"),"happy birthday"," 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4784D-D637-427F-BA81-F1C46C52AC92}" name="Table1" displayName="Table1" ref="A1:B11" totalsRowShown="0">
  <autoFilter ref="A1:B11" xr:uid="{1324784D-D637-427F-BA81-F1C46C52AC92}"/>
  <tableColumns count="2">
    <tableColumn id="1" xr3:uid="{83359839-966A-4EF0-A823-700695B484E7}" name="student name"/>
    <tableColumn id="2" xr3:uid="{E4B5249A-1CC1-4B35-B236-A056669F5355}" name="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8F0E-C36D-4114-925D-A0D497D71EB1}">
  <dimension ref="A1:I10"/>
  <sheetViews>
    <sheetView zoomScale="90" workbookViewId="0">
      <selection activeCell="I10" sqref="I10"/>
    </sheetView>
  </sheetViews>
  <sheetFormatPr defaultRowHeight="14.4" x14ac:dyDescent="0.3"/>
  <cols>
    <col min="1" max="1" width="16.88671875" bestFit="1" customWidth="1"/>
    <col min="2" max="3" width="10.77734375" bestFit="1" customWidth="1"/>
    <col min="4" max="4" width="11.21875" bestFit="1" customWidth="1"/>
    <col min="5" max="5" width="12.5546875" bestFit="1" customWidth="1"/>
    <col min="6" max="6" width="10" bestFit="1" customWidth="1"/>
    <col min="7" max="7" width="10.77734375" bestFit="1" customWidth="1"/>
    <col min="8" max="8" width="64.6640625" bestFit="1" customWidth="1"/>
    <col min="9" max="9" width="14.21875" bestFit="1" customWidth="1"/>
  </cols>
  <sheetData>
    <row r="1" spans="1:9" x14ac:dyDescent="0.3">
      <c r="A1" s="3">
        <f ca="1">NOW()</f>
        <v>46233.972006481483</v>
      </c>
    </row>
    <row r="2" spans="1:9" x14ac:dyDescent="0.3">
      <c r="A2" s="4">
        <f ca="1">TODAY()</f>
        <v>46233</v>
      </c>
    </row>
    <row r="3" spans="1:9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</row>
    <row r="4" spans="1:9" x14ac:dyDescent="0.3">
      <c r="A4" s="4">
        <v>35822</v>
      </c>
      <c r="B4">
        <f>YEAR(Table2[[#This Row],[date]])</f>
        <v>1998</v>
      </c>
      <c r="C4">
        <f>MONTH(Table2[[#This Row],[date]])</f>
        <v>1</v>
      </c>
      <c r="D4">
        <f>WEEKDAY(Table2[[#This Row],[date]])</f>
        <v>3</v>
      </c>
      <c r="E4" s="4" t="str">
        <f>TEXT(Table2[[#This Row],[date]],"mm")</f>
        <v>01</v>
      </c>
      <c r="F4" s="4" t="str">
        <f>TEXT(Table2[[#This Row],[date]],"dd")</f>
        <v>27</v>
      </c>
      <c r="G4">
        <f ca="1">DATEDIF(Table2[[#This Row],[date]],TODAY(),"y")</f>
        <v>28</v>
      </c>
      <c r="H4" s="5" t="s">
        <v>34</v>
      </c>
      <c r="I4" s="4" t="str">
        <f ca="1">IF(TEXT(Table2[[#This Row],[date]],"mmdd")=TEXT(TODAY(),"mmdd"),"happy birthday"," ")</f>
        <v xml:space="preserve"> </v>
      </c>
    </row>
    <row r="5" spans="1:9" x14ac:dyDescent="0.3">
      <c r="A5" s="4">
        <v>36564</v>
      </c>
      <c r="B5">
        <f>YEAR(Table2[[#This Row],[date]])</f>
        <v>2000</v>
      </c>
      <c r="C5">
        <f>MONTH(Table2[[#This Row],[date]])</f>
        <v>2</v>
      </c>
      <c r="D5">
        <f>WEEKDAY(Table2[[#This Row],[date]])</f>
        <v>3</v>
      </c>
      <c r="E5" s="4" t="str">
        <f>TEXT(Table2[[#This Row],[date]],"mm")</f>
        <v>02</v>
      </c>
      <c r="F5" s="4" t="str">
        <f>TEXT(Table2[[#This Row],[date]],"dd")</f>
        <v>08</v>
      </c>
      <c r="G5">
        <f ca="1">DATEDIF(Table2[[#This Row],[date]],TODAY(),"y")</f>
        <v>26</v>
      </c>
      <c r="H5" s="4"/>
      <c r="I5" s="4" t="str">
        <f ca="1">IF(TEXT(Table2[[#This Row],[date]],"mmdd")=TEXT(TODAY(),"mmdd"),"happy birthday"," ")</f>
        <v xml:space="preserve"> </v>
      </c>
    </row>
    <row r="6" spans="1:9" x14ac:dyDescent="0.3">
      <c r="A6" s="4">
        <v>43676</v>
      </c>
      <c r="B6">
        <f>YEAR(Table2[[#This Row],[date]])</f>
        <v>2019</v>
      </c>
      <c r="C6">
        <f>MONTH(Table2[[#This Row],[date]])</f>
        <v>7</v>
      </c>
      <c r="D6">
        <f>WEEKDAY(Table2[[#This Row],[date]])</f>
        <v>3</v>
      </c>
      <c r="E6" s="4" t="str">
        <f>TEXT(Table2[[#This Row],[date]],"mm")</f>
        <v>07</v>
      </c>
      <c r="F6" s="4" t="str">
        <f>TEXT(Table2[[#This Row],[date]],"dd")</f>
        <v>30</v>
      </c>
      <c r="G6">
        <f ca="1">DATEDIF(Table2[[#This Row],[date]],TODAY(),"y")</f>
        <v>7</v>
      </c>
      <c r="H6" s="5"/>
      <c r="I6" s="4"/>
    </row>
    <row r="7" spans="1:9" x14ac:dyDescent="0.3">
      <c r="A7" s="4">
        <v>32281</v>
      </c>
      <c r="B7">
        <f>YEAR(Table2[[#This Row],[date]])</f>
        <v>1988</v>
      </c>
      <c r="C7">
        <f>MONTH(Table2[[#This Row],[date]])</f>
        <v>5</v>
      </c>
      <c r="D7">
        <f>WEEKDAY(Table2[[#This Row],[date]])</f>
        <v>4</v>
      </c>
      <c r="E7" s="4" t="str">
        <f>TEXT(Table2[[#This Row],[date]],"mm")</f>
        <v>05</v>
      </c>
      <c r="F7" s="4" t="str">
        <f>TEXT(Table2[[#This Row],[date]],"dd")</f>
        <v>18</v>
      </c>
      <c r="G7">
        <f ca="1">DATEDIF(Table2[[#This Row],[date]],TODAY(),"y")</f>
        <v>38</v>
      </c>
      <c r="H7" s="4"/>
      <c r="I7" s="4" t="str">
        <f ca="1">IF(TEXT(Table2[[#This Row],[date]],"mmdd")=TEXT(TODAY(),"mmdd"),"happy birthday"," ")</f>
        <v xml:space="preserve"> </v>
      </c>
    </row>
    <row r="8" spans="1:9" x14ac:dyDescent="0.3">
      <c r="A8" s="4">
        <v>37560</v>
      </c>
      <c r="B8">
        <f>YEAR(Table2[[#This Row],[date]])</f>
        <v>2002</v>
      </c>
      <c r="C8">
        <f>MONTH(Table2[[#This Row],[date]])</f>
        <v>10</v>
      </c>
      <c r="D8">
        <f>WEEKDAY(Table2[[#This Row],[date]])</f>
        <v>5</v>
      </c>
      <c r="E8" s="4" t="str">
        <f>TEXT(Table2[[#This Row],[date]],"mm")</f>
        <v>10</v>
      </c>
      <c r="F8" s="4" t="str">
        <f>TEXT(Table2[[#This Row],[date]],"dd")</f>
        <v>31</v>
      </c>
      <c r="G8">
        <f ca="1">DATEDIF(Table2[[#This Row],[date]],TODAY(),"y")</f>
        <v>23</v>
      </c>
      <c r="H8" s="5"/>
      <c r="I8" s="4" t="str">
        <f ca="1">IF(TEXT(Table2[[#This Row],[date]],"mmdd")=TEXT(TODAY(),"mmdd"),"happy birthday"," ")</f>
        <v xml:space="preserve"> </v>
      </c>
    </row>
    <row r="9" spans="1:9" x14ac:dyDescent="0.3">
      <c r="A9" s="4">
        <v>28701</v>
      </c>
      <c r="B9">
        <f>YEAR(Table2[[#This Row],[date]])</f>
        <v>1978</v>
      </c>
      <c r="C9">
        <f>MONTH(Table2[[#This Row],[date]])</f>
        <v>7</v>
      </c>
      <c r="D9">
        <f>WEEKDAY(Table2[[#This Row],[date]])</f>
        <v>1</v>
      </c>
      <c r="E9" s="4" t="str">
        <f>TEXT(Table2[[#This Row],[date]],"mm")</f>
        <v>07</v>
      </c>
      <c r="F9" s="4" t="str">
        <f>TEXT(Table2[[#This Row],[date]],"dd")</f>
        <v>30</v>
      </c>
      <c r="G9">
        <f ca="1">DATEDIF(Table2[[#This Row],[date]],TODAY(),"y")</f>
        <v>48</v>
      </c>
      <c r="H9" s="4"/>
      <c r="I9" s="4" t="str">
        <f ca="1">IF(TEXT(Table2[[#This Row],[date]],"mmdd")=TEXT(TODAY(),"mmdd"),"happy birthday"," ")</f>
        <v>happy birthday</v>
      </c>
    </row>
    <row r="10" spans="1:9" x14ac:dyDescent="0.3">
      <c r="A10" s="4">
        <v>38311</v>
      </c>
      <c r="B10">
        <f>YEAR(Table2[[#This Row],[date]])</f>
        <v>2004</v>
      </c>
      <c r="C10">
        <f>MONTH(Table2[[#This Row],[date]])</f>
        <v>11</v>
      </c>
      <c r="D10">
        <f>WEEKDAY(Table2[[#This Row],[date]])</f>
        <v>7</v>
      </c>
      <c r="E10" s="4" t="str">
        <f>TEXT(Table2[[#This Row],[date]],"mm")</f>
        <v>11</v>
      </c>
      <c r="F10" s="4" t="str">
        <f>TEXT(Table2[[#This Row],[date]],"dd")</f>
        <v>20</v>
      </c>
      <c r="G10">
        <f ca="1">DATEDIF(Table2[[#This Row],[date]],TODAY(),"y")</f>
        <v>21</v>
      </c>
      <c r="H10" s="5"/>
      <c r="I10" s="4" t="str">
        <f ca="1">IF(TEXT(Table2[[#This Row],[date]],"mmdd")=TEXT(TODAY(),"mmdd"),"happy birthday"," ")</f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42CE-1B7F-4862-B376-58B6457134F4}">
  <dimension ref="A1:B15"/>
  <sheetViews>
    <sheetView workbookViewId="0">
      <selection activeCell="C22" sqref="C22"/>
    </sheetView>
  </sheetViews>
  <sheetFormatPr defaultRowHeight="14.4" x14ac:dyDescent="0.3"/>
  <cols>
    <col min="1" max="1" width="16.5546875" bestFit="1" customWidth="1"/>
    <col min="2" max="2" width="12.6640625" bestFit="1" customWidth="1"/>
  </cols>
  <sheetData>
    <row r="1" spans="1:2" x14ac:dyDescent="0.3">
      <c r="A1" s="2" t="s">
        <v>12</v>
      </c>
      <c r="B1" s="2"/>
    </row>
    <row r="3" spans="1:2" x14ac:dyDescent="0.3">
      <c r="A3" t="s">
        <v>13</v>
      </c>
      <c r="B3">
        <v>83.7</v>
      </c>
    </row>
    <row r="4" spans="1:2" x14ac:dyDescent="0.3">
      <c r="A4" t="s">
        <v>14</v>
      </c>
      <c r="B4">
        <v>4.4097115047988815</v>
      </c>
    </row>
    <row r="5" spans="1:2" x14ac:dyDescent="0.3">
      <c r="A5" t="s">
        <v>15</v>
      </c>
      <c r="B5">
        <v>85</v>
      </c>
    </row>
    <row r="6" spans="1:2" x14ac:dyDescent="0.3">
      <c r="A6" t="s">
        <v>16</v>
      </c>
      <c r="B6">
        <v>84</v>
      </c>
    </row>
    <row r="7" spans="1:2" x14ac:dyDescent="0.3">
      <c r="A7" t="s">
        <v>17</v>
      </c>
      <c r="B7">
        <v>13.944732179412991</v>
      </c>
    </row>
    <row r="8" spans="1:2" x14ac:dyDescent="0.3">
      <c r="A8" t="s">
        <v>18</v>
      </c>
      <c r="B8">
        <v>194.4555555555562</v>
      </c>
    </row>
    <row r="9" spans="1:2" x14ac:dyDescent="0.3">
      <c r="A9" t="s">
        <v>19</v>
      </c>
      <c r="B9">
        <v>0.61857505062743989</v>
      </c>
    </row>
    <row r="10" spans="1:2" x14ac:dyDescent="0.3">
      <c r="A10" t="s">
        <v>20</v>
      </c>
      <c r="B10">
        <v>-0.85033090301868353</v>
      </c>
    </row>
    <row r="11" spans="1:2" x14ac:dyDescent="0.3">
      <c r="A11" t="s">
        <v>21</v>
      </c>
      <c r="B11">
        <v>45</v>
      </c>
    </row>
    <row r="12" spans="1:2" x14ac:dyDescent="0.3">
      <c r="A12" t="s">
        <v>22</v>
      </c>
      <c r="B12">
        <v>55</v>
      </c>
    </row>
    <row r="13" spans="1:2" x14ac:dyDescent="0.3">
      <c r="A13" t="s">
        <v>23</v>
      </c>
      <c r="B13">
        <v>100</v>
      </c>
    </row>
    <row r="14" spans="1:2" x14ac:dyDescent="0.3">
      <c r="A14" t="s">
        <v>24</v>
      </c>
      <c r="B14">
        <v>837</v>
      </c>
    </row>
    <row r="15" spans="1:2" ht="15" thickBot="1" x14ac:dyDescent="0.35">
      <c r="A15" s="1" t="s">
        <v>25</v>
      </c>
      <c r="B15" s="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0827-960C-4E3C-9649-2CDEA1C2013C}">
  <dimension ref="A1:B11"/>
  <sheetViews>
    <sheetView tabSelected="1" workbookViewId="0"/>
  </sheetViews>
  <sheetFormatPr defaultRowHeight="14.4" x14ac:dyDescent="0.3"/>
  <cols>
    <col min="1" max="1" width="14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55</v>
      </c>
    </row>
    <row r="3" spans="1:2" x14ac:dyDescent="0.3">
      <c r="A3" t="s">
        <v>3</v>
      </c>
      <c r="B3">
        <v>86</v>
      </c>
    </row>
    <row r="4" spans="1:2" x14ac:dyDescent="0.3">
      <c r="A4" t="s">
        <v>4</v>
      </c>
      <c r="B4">
        <v>88</v>
      </c>
    </row>
    <row r="5" spans="1:2" x14ac:dyDescent="0.3">
      <c r="A5" t="s">
        <v>5</v>
      </c>
      <c r="B5">
        <v>84</v>
      </c>
    </row>
    <row r="6" spans="1:2" x14ac:dyDescent="0.3">
      <c r="A6" t="s">
        <v>6</v>
      </c>
      <c r="B6">
        <v>100</v>
      </c>
    </row>
    <row r="7" spans="1:2" x14ac:dyDescent="0.3">
      <c r="A7" t="s">
        <v>7</v>
      </c>
      <c r="B7">
        <v>96</v>
      </c>
    </row>
    <row r="8" spans="1:2" x14ac:dyDescent="0.3">
      <c r="A8" t="s">
        <v>8</v>
      </c>
      <c r="B8">
        <v>72</v>
      </c>
    </row>
    <row r="9" spans="1:2" x14ac:dyDescent="0.3">
      <c r="A9" t="s">
        <v>9</v>
      </c>
      <c r="B9">
        <v>73</v>
      </c>
    </row>
    <row r="10" spans="1:2" x14ac:dyDescent="0.3">
      <c r="A10" t="s">
        <v>10</v>
      </c>
      <c r="B10">
        <v>99</v>
      </c>
    </row>
    <row r="11" spans="1:2" x14ac:dyDescent="0.3">
      <c r="A11" t="s">
        <v>11</v>
      </c>
      <c r="B11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2026-07-23T05:12:01Z</dcterms:created>
  <dcterms:modified xsi:type="dcterms:W3CDTF">2026-07-30T17:49:44Z</dcterms:modified>
</cp:coreProperties>
</file>