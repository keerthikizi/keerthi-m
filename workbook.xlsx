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excel/"/>
    </mc:Choice>
  </mc:AlternateContent>
  <xr:revisionPtr revIDLastSave="237" documentId="8_{C239A678-37FC-46EA-94FB-13EFA44B8598}" xr6:coauthVersionLast="47" xr6:coauthVersionMax="47" xr10:uidLastSave="{633ADDC5-23B6-4B1E-AD88-2F7FFDA6D006}"/>
  <bookViews>
    <workbookView xWindow="-108" yWindow="-108" windowWidth="23256" windowHeight="12456" activeTab="4" xr2:uid="{048C96EC-0760-4D34-8C0E-4F0C88AA68EE}"/>
  </bookViews>
  <sheets>
    <sheet name="Data_Analytics_Excel_Practice_D" sheetId="2" r:id="rId1"/>
    <sheet name="Sheet1" sheetId="1" r:id="rId2"/>
    <sheet name="Sheet2" sheetId="3" r:id="rId3"/>
    <sheet name="Sheet3" sheetId="4" r:id="rId4"/>
    <sheet name="Sheet4" sheetId="5" r:id="rId5"/>
  </sheets>
  <definedNames>
    <definedName name="ExternalData_1" localSheetId="0" hidden="1">Data_Analytics_Excel_Practice_D!$A$1:$F$51</definedName>
    <definedName name="ExternalData_1" localSheetId="3" hidden="1">Sheet3!$A$1:$E$10</definedName>
    <definedName name="ExternalData_1" localSheetId="4" hidden="1">Sheet4!$A$1:$G$10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3" l="1"/>
  <c r="E3" i="3"/>
  <c r="E4" i="3"/>
  <c r="E5" i="3"/>
  <c r="E6" i="3"/>
  <c r="E7" i="3"/>
  <c r="E8" i="3"/>
  <c r="E9" i="3"/>
  <c r="E2" i="3"/>
  <c r="D3" i="3"/>
  <c r="D4" i="3"/>
  <c r="D5" i="3"/>
  <c r="D6" i="3"/>
  <c r="D7" i="3"/>
  <c r="D8" i="3"/>
  <c r="D9" i="3"/>
  <c r="D2" i="3"/>
  <c r="C3" i="3"/>
  <c r="C4" i="3"/>
  <c r="C5" i="3"/>
  <c r="C6" i="3"/>
  <c r="C7" i="3"/>
  <c r="C8" i="3"/>
  <c r="C9" i="3"/>
  <c r="C2" i="3"/>
  <c r="B2" i="3"/>
  <c r="B3" i="3"/>
  <c r="B4" i="3"/>
  <c r="B5" i="3"/>
  <c r="B6" i="3"/>
  <c r="B7" i="3"/>
  <c r="B8" i="3"/>
  <c r="B9" i="3"/>
  <c r="A8" i="3"/>
  <c r="A9" i="3"/>
  <c r="A3" i="3"/>
  <c r="A4" i="3"/>
  <c r="A5" i="3"/>
  <c r="A6" i="3"/>
  <c r="A7" i="3"/>
  <c r="A2" i="3"/>
  <c r="L3" i="1" l="1"/>
  <c r="L4" i="1"/>
  <c r="L5" i="1"/>
  <c r="L6" i="1"/>
  <c r="L7" i="1"/>
  <c r="L8" i="1"/>
  <c r="L9" i="1"/>
  <c r="L2" i="1"/>
  <c r="K3" i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9" i="1"/>
  <c r="G3" i="1"/>
  <c r="G4" i="1"/>
  <c r="G5" i="1"/>
  <c r="G6" i="1"/>
  <c r="G7" i="1"/>
  <c r="G8" i="1"/>
  <c r="G2" i="1"/>
  <c r="S2" i="2"/>
  <c r="R2" i="2"/>
  <c r="Q2" i="2"/>
  <c r="P2" i="2"/>
  <c r="O2" i="2"/>
  <c r="N2" i="2"/>
  <c r="M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L2" i="2"/>
  <c r="K2" i="2"/>
  <c r="J2" i="2"/>
  <c r="I2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4E5B45-294A-4737-9BA5-B82B2EADCCC6}" keepAlive="1" name="Query - Data_Analytics_Excel_Practice_Dataset" description="Connection to the 'Data_Analytics_Excel_Practice_Dataset' query in the workbook." type="5" refreshedVersion="8" background="1" saveData="1">
    <dbPr connection="Provider=Microsoft.Mashup.OleDb.1;Data Source=$Workbook$;Location=Data_Analytics_Excel_Practice_Dataset;Extended Properties=&quot;&quot;" command="SELECT * FROM [Data_Analytics_Excel_Practice_Dataset]"/>
  </connection>
  <connection id="2" xr16:uid="{64A2BD9A-4787-457F-A589-9F019652C99F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  <connection id="3" xr16:uid="{76C87C2D-D919-40F4-B254-59CE0ED3B456}" keepAlive="1" name="Query - Table6" description="Connection to the 'Table6' query in the workbook." type="5" refreshedVersion="8" background="1" saveData="1">
    <dbPr connection="Provider=Microsoft.Mashup.OleDb.1;Data Source=$Workbook$;Location=Table6;Extended Properties=&quot;&quot;" command="SELECT * FROM [Table6]"/>
  </connection>
</connections>
</file>

<file path=xl/sharedStrings.xml><?xml version="1.0" encoding="utf-8"?>
<sst xmlns="http://schemas.openxmlformats.org/spreadsheetml/2006/main" count="305" uniqueCount="135">
  <si>
    <t>StudentID</t>
  </si>
  <si>
    <t>Name</t>
  </si>
  <si>
    <t>Course</t>
  </si>
  <si>
    <t>Batch</t>
  </si>
  <si>
    <t>Age</t>
  </si>
  <si>
    <t>Score</t>
  </si>
  <si>
    <t>Neha</t>
  </si>
  <si>
    <t>Excel</t>
  </si>
  <si>
    <t>A</t>
  </si>
  <si>
    <t>Kiran</t>
  </si>
  <si>
    <t>Data Analytics</t>
  </si>
  <si>
    <t>B</t>
  </si>
  <si>
    <t>Arun</t>
  </si>
  <si>
    <t>Python</t>
  </si>
  <si>
    <t>Anu</t>
  </si>
  <si>
    <t>Asha</t>
  </si>
  <si>
    <t>C</t>
  </si>
  <si>
    <t>Meera</t>
  </si>
  <si>
    <t>Diya</t>
  </si>
  <si>
    <t>Nikhil</t>
  </si>
  <si>
    <t>Vivek</t>
  </si>
  <si>
    <t>Rahul</t>
  </si>
  <si>
    <t>mean</t>
  </si>
  <si>
    <t>median</t>
  </si>
  <si>
    <t>mode</t>
  </si>
  <si>
    <t>std</t>
  </si>
  <si>
    <t>var</t>
  </si>
  <si>
    <t>sumif</t>
  </si>
  <si>
    <t>countif</t>
  </si>
  <si>
    <t>averageif</t>
  </si>
  <si>
    <t>sum</t>
  </si>
  <si>
    <t>max</t>
  </si>
  <si>
    <t>min</t>
  </si>
  <si>
    <t>count</t>
  </si>
  <si>
    <t>if</t>
  </si>
  <si>
    <t>keerthi m</t>
  </si>
  <si>
    <t>riya r s</t>
  </si>
  <si>
    <t>dhiya e</t>
  </si>
  <si>
    <t>rithu m</t>
  </si>
  <si>
    <t>amitha girish</t>
  </si>
  <si>
    <t>devika v nair</t>
  </si>
  <si>
    <t>sooraj s p</t>
  </si>
  <si>
    <t>gokul nath c s</t>
  </si>
  <si>
    <t>code</t>
  </si>
  <si>
    <t>place</t>
  </si>
  <si>
    <t>VISHAKAPATNAM</t>
  </si>
  <si>
    <t>HYDERABAD</t>
  </si>
  <si>
    <t>KOCHI</t>
  </si>
  <si>
    <t>CHENNAI</t>
  </si>
  <si>
    <t>BANGLOUR</t>
  </si>
  <si>
    <t>SARJAPUR</t>
  </si>
  <si>
    <t>HOZUR</t>
  </si>
  <si>
    <t>VIJAYWADA</t>
  </si>
  <si>
    <t>LEFT</t>
  </si>
  <si>
    <t>RIGHT</t>
  </si>
  <si>
    <t>PROPER</t>
  </si>
  <si>
    <t>MID</t>
  </si>
  <si>
    <t>UPPER</t>
  </si>
  <si>
    <t>LOWER</t>
  </si>
  <si>
    <t>FIRST NAME</t>
  </si>
  <si>
    <t>LAST NAME</t>
  </si>
  <si>
    <t>CODE</t>
  </si>
  <si>
    <t>USERNAME</t>
  </si>
  <si>
    <t>PASSWORD</t>
  </si>
  <si>
    <t>keerthi</t>
  </si>
  <si>
    <t>m</t>
  </si>
  <si>
    <t>keerthi_9856</t>
  </si>
  <si>
    <t>keerthi9856</t>
  </si>
  <si>
    <t>riya</t>
  </si>
  <si>
    <t>r s</t>
  </si>
  <si>
    <t>riya_5236</t>
  </si>
  <si>
    <t>riya5236</t>
  </si>
  <si>
    <t>dhiya</t>
  </si>
  <si>
    <t>e</t>
  </si>
  <si>
    <t>dhiya_4456</t>
  </si>
  <si>
    <t>dhiya4456</t>
  </si>
  <si>
    <t>rithu</t>
  </si>
  <si>
    <t>rithu_1111</t>
  </si>
  <si>
    <t>rithu1111</t>
  </si>
  <si>
    <t>amitha</t>
  </si>
  <si>
    <t>girish</t>
  </si>
  <si>
    <t>amitha_7456</t>
  </si>
  <si>
    <t>amitha7456</t>
  </si>
  <si>
    <t>devika</t>
  </si>
  <si>
    <t>v nair</t>
  </si>
  <si>
    <t>devika_2569</t>
  </si>
  <si>
    <t>devika2569</t>
  </si>
  <si>
    <t>sooraj</t>
  </si>
  <si>
    <t>s p</t>
  </si>
  <si>
    <t>sooraj_7458</t>
  </si>
  <si>
    <t>sooraj7458</t>
  </si>
  <si>
    <t>gokul</t>
  </si>
  <si>
    <t>nath c s</t>
  </si>
  <si>
    <t>gokul_5682</t>
  </si>
  <si>
    <t>gokul5682</t>
  </si>
  <si>
    <t>PHN NO.</t>
  </si>
  <si>
    <t>CON CODE</t>
  </si>
  <si>
    <t>Password</t>
  </si>
  <si>
    <t>VISH</t>
  </si>
  <si>
    <t>keerthi_m</t>
  </si>
  <si>
    <t>keerthi856</t>
  </si>
  <si>
    <t>HYDE</t>
  </si>
  <si>
    <t>riya_r s</t>
  </si>
  <si>
    <t>riya236</t>
  </si>
  <si>
    <t>KOCH</t>
  </si>
  <si>
    <t>dhiya_e</t>
  </si>
  <si>
    <t>dhiya456</t>
  </si>
  <si>
    <t>CHEN</t>
  </si>
  <si>
    <t>rithu_m</t>
  </si>
  <si>
    <t>rithu111</t>
  </si>
  <si>
    <t>BANG</t>
  </si>
  <si>
    <t>amitha_girish</t>
  </si>
  <si>
    <t>amitha456</t>
  </si>
  <si>
    <t>SARJ</t>
  </si>
  <si>
    <t>devika_v nair</t>
  </si>
  <si>
    <t>devika569</t>
  </si>
  <si>
    <t>HOZU</t>
  </si>
  <si>
    <t>sooraj_s p</t>
  </si>
  <si>
    <t>sooraj458</t>
  </si>
  <si>
    <t>VIJA</t>
  </si>
  <si>
    <t>gokul_nath c s</t>
  </si>
  <si>
    <t>gokul682</t>
  </si>
  <si>
    <t>sruthi m r</t>
  </si>
  <si>
    <t>tripur</t>
  </si>
  <si>
    <t>sruthi</t>
  </si>
  <si>
    <t>m r</t>
  </si>
  <si>
    <t>trip</t>
  </si>
  <si>
    <t>sruthi_m r</t>
  </si>
  <si>
    <t>sruthi526</t>
  </si>
  <si>
    <t>select a cell - data- get data from table</t>
  </si>
  <si>
    <t>to exctract, select the coloumn- extract- first char- number- ok</t>
  </si>
  <si>
    <t>to split the names, select the coloumn- split-ok</t>
  </si>
  <si>
    <t>to merge, select 2 coloumns- merge-custom-ok</t>
  </si>
  <si>
    <t>new coloumn, custom coloum-name- syntax=first name&amp;text.end(text.from([name]), 3)- ok</t>
  </si>
  <si>
    <t xml:space="preserve">close and load- existing sheet-cell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</si>
</sst>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498A21-9551-44EA-B3F1-87CE8C79BCB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StudentID" tableColumnId="1"/>
      <queryTableField id="2" name="Name" tableColumnId="2"/>
      <queryTableField id="3" name="Course" tableColumnId="3"/>
      <queryTableField id="4" name="Batch" tableColumnId="4"/>
      <queryTableField id="5" name="Age" tableColumnId="5"/>
      <queryTableField id="6" name="Score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371C61-D2EF-4B62-A842-6812A229F321}" autoFormatId="16" applyNumberFormats="0" applyBorderFormats="0" applyFontFormats="0" applyPatternFormats="0" applyAlignmentFormats="0" applyWidthHeightFormats="0">
  <queryTableRefresh nextId="6">
    <queryTableFields count="5">
      <queryTableField id="1" name="FIRST NAME" tableColumnId="1"/>
      <queryTableField id="2" name="LAST NAME" tableColumnId="2"/>
      <queryTableField id="3" name="CODE" tableColumnId="3"/>
      <queryTableField id="4" name="USERNAME" tableColumnId="4"/>
      <queryTableField id="5" name="PASSWORD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35DB44E-0ABD-46BF-BF09-71C7CF42DB1F}" autoFormatId="16" applyNumberFormats="0" applyBorderFormats="0" applyFontFormats="0" applyPatternFormats="0" applyAlignmentFormats="0" applyWidthHeightFormats="0">
  <queryTableRefresh nextId="8">
    <queryTableFields count="7">
      <queryTableField id="1" name="FIRST NAME" tableColumnId="1"/>
      <queryTableField id="2" name="LAST NAME" tableColumnId="2"/>
      <queryTableField id="3" name="PHN NO." tableColumnId="3"/>
      <queryTableField id="4" name="place" tableColumnId="4"/>
      <queryTableField id="5" name="CON CODE" tableColumnId="5"/>
      <queryTableField id="6" name="USERNAME" tableColumnId="6"/>
      <queryTableField id="7" name="Passwor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DE5045-F62B-4A18-BA95-D32F2892BDEE}" name="Data_Analytics_Excel_Practice_Dataset" displayName="Data_Analytics_Excel_Practice_Dataset" ref="A1:G51" tableType="queryTable" totalsRowShown="0">
  <autoFilter ref="A1:G51" xr:uid="{CBDE5045-F62B-4A18-BA95-D32F2892BDEE}"/>
  <tableColumns count="7">
    <tableColumn id="1" xr3:uid="{79EB2E4F-DF95-4A24-96A4-C68830E5C50A}" uniqueName="1" name="StudentID" queryTableFieldId="1"/>
    <tableColumn id="2" xr3:uid="{43ED6544-FE3A-4D61-BC5D-1A0AD1BEB5B2}" uniqueName="2" name="Name" queryTableFieldId="2" dataDxfId="12"/>
    <tableColumn id="3" xr3:uid="{1AE11663-BFA5-4427-8019-8443E17B8BDF}" uniqueName="3" name="Course" queryTableFieldId="3" dataDxfId="11"/>
    <tableColumn id="4" xr3:uid="{6CE805DE-183F-41DD-8455-70A5EAC070DD}" uniqueName="4" name="Batch" queryTableFieldId="4" dataDxfId="10"/>
    <tableColumn id="5" xr3:uid="{F4869A9F-CE9A-4831-9B4D-402A5D1335B4}" uniqueName="5" name="Age" queryTableFieldId="5"/>
    <tableColumn id="6" xr3:uid="{A842085F-F6B2-4341-8EA7-672D3A93B526}" uniqueName="6" name="Score" queryTableFieldId="6"/>
    <tableColumn id="7" xr3:uid="{A0B60C17-E0FD-437C-9219-7820C85A6B6F}" uniqueName="7" name="if" queryTableFieldId="7" dataDxfId="9">
      <calculatedColumnFormula>IF(Data_Analytics_Excel_Practice_Dataset[[#This Row],[Score]]&gt;=50,"pass","fail")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21B42E-5A26-4420-81D8-3A17C0645976}" name="Table3" displayName="Table3" ref="G1:L9" totalsRowShown="0">
  <autoFilter ref="G1:L9" xr:uid="{2921B42E-5A26-4420-81D8-3A17C0645976}"/>
  <tableColumns count="6">
    <tableColumn id="1" xr3:uid="{75540B4A-7175-45D7-9517-FDFCEB5F678A}" name="LEFT">
      <calculatedColumnFormula>LEFT(A2,4)</calculatedColumnFormula>
    </tableColumn>
    <tableColumn id="2" xr3:uid="{2583C08A-26C7-46E0-89B5-BD8A526D6E0B}" name="RIGHT">
      <calculatedColumnFormula>RIGHT(A2,3)</calculatedColumnFormula>
    </tableColumn>
    <tableColumn id="3" xr3:uid="{A8C602DE-6F7E-44AD-BDDF-0DDAAD716B45}" name="PROPER">
      <calculatedColumnFormula>PROPER(A2)</calculatedColumnFormula>
    </tableColumn>
    <tableColumn id="4" xr3:uid="{0E8D8D1C-70E1-4898-9ACD-B0CDE3A50416}" name="MID">
      <calculatedColumnFormula>MID(A2,2,5)</calculatedColumnFormula>
    </tableColumn>
    <tableColumn id="5" xr3:uid="{618D894B-8641-4307-8470-F59F1B7E90D4}" name="UPPER">
      <calculatedColumnFormula>UPPER(A2)</calculatedColumnFormula>
    </tableColumn>
    <tableColumn id="6" xr3:uid="{08E3D7F0-95CF-4A53-B025-1FF07A434046}" name="LOWER">
      <calculatedColumnFormula>LOWER(A2)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EB297BE-A414-4474-955B-DCE239D66B10}" name="Table6" displayName="Table6" ref="A1:C10" totalsRowShown="0">
  <autoFilter ref="A1:C10" xr:uid="{9EB297BE-A414-4474-955B-DCE239D66B10}"/>
  <tableColumns count="3">
    <tableColumn id="1" xr3:uid="{7989E8F8-AD5A-44F6-AFDD-B0832833BBCD}" name="Name"/>
    <tableColumn id="2" xr3:uid="{C031EE96-D554-4853-B70D-A9732F69BD23}" name="code"/>
    <tableColumn id="3" xr3:uid="{83760E71-77A4-433E-AC4D-A504404459D6}" name="pla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B2122B-88EA-4153-A3CA-B0B229A1A3F4}" name="Table4" displayName="Table4" ref="A1:E10" totalsRowShown="0">
  <autoFilter ref="A1:E10" xr:uid="{0CB2122B-88EA-4153-A3CA-B0B229A1A3F4}"/>
  <tableColumns count="5">
    <tableColumn id="1" xr3:uid="{7994C64E-0A3E-4214-88E0-672EAFE56322}" name="FIRST NAME">
      <calculatedColumnFormula>LEFT(Sheet1!A2, FIND(" ",Sheet1!A2)-1)</calculatedColumnFormula>
    </tableColumn>
    <tableColumn id="2" xr3:uid="{8F665C6C-B847-4F3B-8F05-4BF5F1AFC05A}" name="LAST NAME">
      <calculatedColumnFormula>RIGHT(Sheet1!A2, LEN(Sheet1!A2) - FIND(" ", Sheet1!A2))</calculatedColumnFormula>
    </tableColumn>
    <tableColumn id="3" xr3:uid="{E2828E1F-7A7A-41AD-A76F-FBBA9A75AE04}" name="CODE">
      <calculatedColumnFormula>Sheet1!B2</calculatedColumnFormula>
    </tableColumn>
    <tableColumn id="4" xr3:uid="{583C24A2-F777-421F-A656-5ABAC900D221}" name="USERNAME">
      <calculatedColumnFormula>_xlfn.CONCAT(A2,"_",C2)</calculatedColumnFormula>
    </tableColumn>
    <tableColumn id="5" xr3:uid="{81CDF21A-E94D-4065-B8C5-C2CA946F8BCB}" name="PASSWORD">
      <calculatedColumnFormula>_xlfn.CONCAT(A2,RIGHT(C2,4))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62D4EB-175C-4306-A8AC-69759F082ED8}" name="Table4_1" displayName="Table4_1" ref="A1:E10" tableType="queryTable" totalsRowShown="0">
  <autoFilter ref="A1:E10" xr:uid="{9662D4EB-175C-4306-A8AC-69759F082ED8}"/>
  <tableColumns count="5">
    <tableColumn id="1" xr3:uid="{0605836B-ED85-4031-BDBF-1A3EFC579651}" uniqueName="1" name="FIRST NAME" queryTableFieldId="1" dataDxfId="8"/>
    <tableColumn id="2" xr3:uid="{C19FE63D-D333-418F-9D0F-0087E98A21B2}" uniqueName="2" name="LAST NAME" queryTableFieldId="2" dataDxfId="7"/>
    <tableColumn id="3" xr3:uid="{72F1D4BC-0A1D-41DF-AC05-F7C6790EA40B}" uniqueName="3" name="CODE" queryTableFieldId="3"/>
    <tableColumn id="4" xr3:uid="{AD7E4278-0E9F-43B3-8A72-9873088551E7}" uniqueName="4" name="USERNAME" queryTableFieldId="4" dataDxfId="6"/>
    <tableColumn id="5" xr3:uid="{300324E9-8962-433E-9219-F7656BACF7F1}" uniqueName="5" name="PASSWORD" queryTableFieldId="5" dataDxf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9B0C7EC-6265-45A9-BF6D-117BE473F50B}" name="Table6_1" displayName="Table6_1" ref="A1:G10" tableType="queryTable" totalsRowShown="0">
  <autoFilter ref="A1:G10" xr:uid="{19B0C7EC-6265-45A9-BF6D-117BE473F50B}"/>
  <tableColumns count="7">
    <tableColumn id="1" xr3:uid="{3976D1FC-C85F-4464-979A-4C08BDBCDF55}" uniqueName="1" name="FIRST NAME" queryTableFieldId="1" dataDxfId="4"/>
    <tableColumn id="2" xr3:uid="{5D7DFA7E-D416-4448-B2D3-ADA606273B7D}" uniqueName="2" name="LAST NAME" queryTableFieldId="2" dataDxfId="3"/>
    <tableColumn id="3" xr3:uid="{80F4ADAB-1430-43D3-BF63-E56A5FC3A6D7}" uniqueName="3" name="PHN NO." queryTableFieldId="3"/>
    <tableColumn id="4" xr3:uid="{C0BE6B68-21BF-4397-8B47-5593758E587E}" uniqueName="4" name="place" queryTableFieldId="4" dataDxfId="2"/>
    <tableColumn id="5" xr3:uid="{9ED19255-AFC0-436A-9F93-0CD4E1671C15}" uniqueName="5" name="CON CODE" queryTableFieldId="5" dataDxfId="1"/>
    <tableColumn id="6" xr3:uid="{AE85D168-3125-4F06-A38A-6DA036BF8503}" uniqueName="6" name="USERNAME" queryTableFieldId="6" dataDxfId="0"/>
    <tableColumn id="7" xr3:uid="{2EC283B2-8A17-4198-925B-419F84997C73}" uniqueName="7" name="Passwor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34D4F-44D3-4E40-B557-7FEF872F942C}">
  <dimension ref="A1:S51"/>
  <sheetViews>
    <sheetView workbookViewId="0">
      <selection activeCell="P7" sqref="P7"/>
    </sheetView>
  </sheetViews>
  <sheetFormatPr defaultRowHeight="14.4" x14ac:dyDescent="0.3"/>
  <cols>
    <col min="1" max="1" width="11.6640625" bestFit="1" customWidth="1"/>
    <col min="2" max="2" width="8.21875" bestFit="1" customWidth="1"/>
    <col min="3" max="3" width="12.5546875" bestFit="1" customWidth="1"/>
    <col min="4" max="4" width="8" bestFit="1" customWidth="1"/>
    <col min="5" max="5" width="6.44140625" bestFit="1" customWidth="1"/>
    <col min="6" max="6" width="7.88671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34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</row>
    <row r="2" spans="1:19" x14ac:dyDescent="0.3">
      <c r="A2">
        <v>1</v>
      </c>
      <c r="B2" s="1" t="s">
        <v>6</v>
      </c>
      <c r="C2" s="1" t="s">
        <v>7</v>
      </c>
      <c r="D2" s="1" t="s">
        <v>8</v>
      </c>
      <c r="E2">
        <v>26</v>
      </c>
      <c r="F2">
        <v>57</v>
      </c>
      <c r="G2" s="1" t="str">
        <f>IF(Data_Analytics_Excel_Practice_Dataset[[#This Row],[Score]]&gt;=50,"pass","fail")</f>
        <v>pass</v>
      </c>
      <c r="H2">
        <f>AVERAGE(Data_Analytics_Excel_Practice_Dataset[Score])</f>
        <v>75.900000000000006</v>
      </c>
      <c r="I2">
        <f>MEDIAN(Data_Analytics_Excel_Practice_Dataset[Score])</f>
        <v>77</v>
      </c>
      <c r="J2">
        <f>MODE(Data_Analytics_Excel_Practice_Dataset[Score])</f>
        <v>51</v>
      </c>
      <c r="K2">
        <f>_xlfn.STDEV.S(Data_Analytics_Excel_Practice_Dataset[Score])</f>
        <v>15.855534023919644</v>
      </c>
      <c r="L2">
        <f>_xlfn.VAR.S(Data_Analytics_Excel_Practice_Dataset[Score])</f>
        <v>251.39795918367346</v>
      </c>
      <c r="M2">
        <f>SUMIF(Data_Analytics_Excel_Practice_Dataset[Course],C3,Data_Analytics_Excel_Practice_Dataset[Score])</f>
        <v>1027</v>
      </c>
      <c r="N2">
        <f>COUNTIF(Data_Analytics_Excel_Practice_Dataset[Course],Data_Analytics_Excel_Practice_Dataset[[#This Row],[Course]])</f>
        <v>20</v>
      </c>
      <c r="O2">
        <f>AVERAGEIF(Data_Analytics_Excel_Practice_Dataset[Batch],Data_Analytics_Excel_Practice_Dataset[[#This Row],[Batch]],Data_Analytics_Excel_Practice_Dataset[Score])</f>
        <v>76.1875</v>
      </c>
      <c r="P2">
        <f>SUM(Data_Analytics_Excel_Practice_Dataset[Score])</f>
        <v>3795</v>
      </c>
      <c r="Q2">
        <f>MAX(Data_Analytics_Excel_Practice_Dataset[Score])</f>
        <v>100</v>
      </c>
      <c r="R2">
        <f>MIN(Data_Analytics_Excel_Practice_Dataset[Score])</f>
        <v>50</v>
      </c>
      <c r="S2">
        <f>COUNT(Data_Analytics_Excel_Practice_Dataset[Age])</f>
        <v>50</v>
      </c>
    </row>
    <row r="3" spans="1:19" x14ac:dyDescent="0.3">
      <c r="A3">
        <v>2</v>
      </c>
      <c r="B3" s="1" t="s">
        <v>9</v>
      </c>
      <c r="C3" s="1" t="s">
        <v>10</v>
      </c>
      <c r="D3" s="1" t="s">
        <v>11</v>
      </c>
      <c r="E3">
        <v>30</v>
      </c>
      <c r="F3">
        <v>100</v>
      </c>
      <c r="G3" s="1" t="str">
        <f>IF(Data_Analytics_Excel_Practice_Dataset[[#This Row],[Score]]&gt;=50,"pass","fail")</f>
        <v>pass</v>
      </c>
    </row>
    <row r="4" spans="1:19" x14ac:dyDescent="0.3">
      <c r="A4">
        <v>3</v>
      </c>
      <c r="B4" s="1" t="s">
        <v>12</v>
      </c>
      <c r="C4" s="1" t="s">
        <v>13</v>
      </c>
      <c r="D4" s="1" t="s">
        <v>11</v>
      </c>
      <c r="E4">
        <v>18</v>
      </c>
      <c r="F4">
        <v>74</v>
      </c>
      <c r="G4" s="1" t="str">
        <f>IF(Data_Analytics_Excel_Practice_Dataset[[#This Row],[Score]]&gt;=50,"pass","fail")</f>
        <v>pass</v>
      </c>
    </row>
    <row r="5" spans="1:19" x14ac:dyDescent="0.3">
      <c r="A5">
        <v>4</v>
      </c>
      <c r="B5" s="1" t="s">
        <v>14</v>
      </c>
      <c r="C5" s="1" t="s">
        <v>7</v>
      </c>
      <c r="D5" s="1" t="s">
        <v>8</v>
      </c>
      <c r="E5">
        <v>32</v>
      </c>
      <c r="F5">
        <v>67</v>
      </c>
      <c r="G5" s="1" t="str">
        <f>IF(Data_Analytics_Excel_Practice_Dataset[[#This Row],[Score]]&gt;=50,"pass","fail")</f>
        <v>pass</v>
      </c>
    </row>
    <row r="6" spans="1:19" x14ac:dyDescent="0.3">
      <c r="A6">
        <v>5</v>
      </c>
      <c r="B6" s="1" t="s">
        <v>12</v>
      </c>
      <c r="C6" s="1" t="s">
        <v>7</v>
      </c>
      <c r="D6" s="1" t="s">
        <v>8</v>
      </c>
      <c r="E6">
        <v>28</v>
      </c>
      <c r="F6">
        <v>51</v>
      </c>
      <c r="G6" s="1" t="str">
        <f>IF(Data_Analytics_Excel_Practice_Dataset[[#This Row],[Score]]&gt;=50,"pass","fail")</f>
        <v>pass</v>
      </c>
    </row>
    <row r="7" spans="1:19" x14ac:dyDescent="0.3">
      <c r="A7">
        <v>6</v>
      </c>
      <c r="B7" s="1" t="s">
        <v>15</v>
      </c>
      <c r="C7" s="1" t="s">
        <v>13</v>
      </c>
      <c r="D7" s="1" t="s">
        <v>16</v>
      </c>
      <c r="E7">
        <v>35</v>
      </c>
      <c r="F7">
        <v>50</v>
      </c>
      <c r="G7" s="1" t="str">
        <f>IF(Data_Analytics_Excel_Practice_Dataset[[#This Row],[Score]]&gt;=50,"pass","fail")</f>
        <v>pass</v>
      </c>
    </row>
    <row r="8" spans="1:19" x14ac:dyDescent="0.3">
      <c r="A8">
        <v>7</v>
      </c>
      <c r="B8" s="1" t="s">
        <v>14</v>
      </c>
      <c r="C8" s="1" t="s">
        <v>7</v>
      </c>
      <c r="D8" s="1" t="s">
        <v>8</v>
      </c>
      <c r="E8">
        <v>31</v>
      </c>
      <c r="F8">
        <v>96</v>
      </c>
      <c r="G8" s="1" t="str">
        <f>IF(Data_Analytics_Excel_Practice_Dataset[[#This Row],[Score]]&gt;=50,"pass","fail")</f>
        <v>pass</v>
      </c>
    </row>
    <row r="9" spans="1:19" x14ac:dyDescent="0.3">
      <c r="A9">
        <v>8</v>
      </c>
      <c r="B9" s="1" t="s">
        <v>15</v>
      </c>
      <c r="C9" s="1" t="s">
        <v>7</v>
      </c>
      <c r="D9" s="1" t="s">
        <v>8</v>
      </c>
      <c r="E9">
        <v>32</v>
      </c>
      <c r="F9">
        <v>81</v>
      </c>
      <c r="G9" s="1" t="str">
        <f>IF(Data_Analytics_Excel_Practice_Dataset[[#This Row],[Score]]&gt;=50,"pass","fail")</f>
        <v>pass</v>
      </c>
    </row>
    <row r="10" spans="1:19" x14ac:dyDescent="0.3">
      <c r="A10">
        <v>9</v>
      </c>
      <c r="B10" s="1" t="s">
        <v>17</v>
      </c>
      <c r="C10" s="1" t="s">
        <v>13</v>
      </c>
      <c r="D10" s="1" t="s">
        <v>11</v>
      </c>
      <c r="E10">
        <v>25</v>
      </c>
      <c r="F10">
        <v>93</v>
      </c>
      <c r="G10" s="1" t="str">
        <f>IF(Data_Analytics_Excel_Practice_Dataset[[#This Row],[Score]]&gt;=50,"pass","fail")</f>
        <v>pass</v>
      </c>
    </row>
    <row r="11" spans="1:19" x14ac:dyDescent="0.3">
      <c r="A11">
        <v>10</v>
      </c>
      <c r="B11" s="1" t="s">
        <v>12</v>
      </c>
      <c r="C11" s="1" t="s">
        <v>10</v>
      </c>
      <c r="D11" s="1" t="s">
        <v>11</v>
      </c>
      <c r="E11">
        <v>18</v>
      </c>
      <c r="F11">
        <v>76</v>
      </c>
      <c r="G11" s="1" t="str">
        <f>IF(Data_Analytics_Excel_Practice_Dataset[[#This Row],[Score]]&gt;=50,"pass","fail")</f>
        <v>pass</v>
      </c>
    </row>
    <row r="12" spans="1:19" x14ac:dyDescent="0.3">
      <c r="A12">
        <v>11</v>
      </c>
      <c r="B12" s="1" t="s">
        <v>17</v>
      </c>
      <c r="C12" s="1" t="s">
        <v>7</v>
      </c>
      <c r="D12" s="1" t="s">
        <v>8</v>
      </c>
      <c r="E12">
        <v>23</v>
      </c>
      <c r="F12">
        <v>90</v>
      </c>
      <c r="G12" s="1" t="str">
        <f>IF(Data_Analytics_Excel_Practice_Dataset[[#This Row],[Score]]&gt;=50,"pass","fail")</f>
        <v>pass</v>
      </c>
    </row>
    <row r="13" spans="1:19" x14ac:dyDescent="0.3">
      <c r="A13">
        <v>12</v>
      </c>
      <c r="B13" s="1" t="s">
        <v>18</v>
      </c>
      <c r="C13" s="1" t="s">
        <v>13</v>
      </c>
      <c r="D13" s="1" t="s">
        <v>16</v>
      </c>
      <c r="E13">
        <v>28</v>
      </c>
      <c r="F13">
        <v>96</v>
      </c>
      <c r="G13" s="1" t="str">
        <f>IF(Data_Analytics_Excel_Practice_Dataset[[#This Row],[Score]]&gt;=50,"pass","fail")</f>
        <v>pass</v>
      </c>
    </row>
    <row r="14" spans="1:19" x14ac:dyDescent="0.3">
      <c r="A14">
        <v>13</v>
      </c>
      <c r="B14" s="1" t="s">
        <v>17</v>
      </c>
      <c r="C14" s="1" t="s">
        <v>10</v>
      </c>
      <c r="D14" s="1" t="s">
        <v>16</v>
      </c>
      <c r="E14">
        <v>24</v>
      </c>
      <c r="F14">
        <v>69</v>
      </c>
      <c r="G14" s="1" t="str">
        <f>IF(Data_Analytics_Excel_Practice_Dataset[[#This Row],[Score]]&gt;=50,"pass","fail")</f>
        <v>pass</v>
      </c>
    </row>
    <row r="15" spans="1:19" x14ac:dyDescent="0.3">
      <c r="A15">
        <v>14</v>
      </c>
      <c r="B15" s="1" t="s">
        <v>18</v>
      </c>
      <c r="C15" s="1" t="s">
        <v>7</v>
      </c>
      <c r="D15" s="1" t="s">
        <v>11</v>
      </c>
      <c r="E15">
        <v>34</v>
      </c>
      <c r="F15">
        <v>75</v>
      </c>
      <c r="G15" s="1" t="str">
        <f>IF(Data_Analytics_Excel_Practice_Dataset[[#This Row],[Score]]&gt;=50,"pass","fail")</f>
        <v>pass</v>
      </c>
    </row>
    <row r="16" spans="1:19" x14ac:dyDescent="0.3">
      <c r="A16">
        <v>15</v>
      </c>
      <c r="B16" s="1" t="s">
        <v>19</v>
      </c>
      <c r="C16" s="1" t="s">
        <v>13</v>
      </c>
      <c r="D16" s="1" t="s">
        <v>11</v>
      </c>
      <c r="E16">
        <v>25</v>
      </c>
      <c r="F16">
        <v>97</v>
      </c>
      <c r="G16" s="1" t="str">
        <f>IF(Data_Analytics_Excel_Practice_Dataset[[#This Row],[Score]]&gt;=50,"pass","fail")</f>
        <v>pass</v>
      </c>
    </row>
    <row r="17" spans="1:7" x14ac:dyDescent="0.3">
      <c r="A17">
        <v>16</v>
      </c>
      <c r="B17" s="1" t="s">
        <v>14</v>
      </c>
      <c r="C17" s="1" t="s">
        <v>10</v>
      </c>
      <c r="D17" s="1" t="s">
        <v>16</v>
      </c>
      <c r="E17">
        <v>23</v>
      </c>
      <c r="F17">
        <v>73</v>
      </c>
      <c r="G17" s="1" t="str">
        <f>IF(Data_Analytics_Excel_Practice_Dataset[[#This Row],[Score]]&gt;=50,"pass","fail")</f>
        <v>pass</v>
      </c>
    </row>
    <row r="18" spans="1:7" x14ac:dyDescent="0.3">
      <c r="A18">
        <v>17</v>
      </c>
      <c r="B18" s="1" t="s">
        <v>17</v>
      </c>
      <c r="C18" s="1" t="s">
        <v>7</v>
      </c>
      <c r="D18" s="1" t="s">
        <v>16</v>
      </c>
      <c r="E18">
        <v>29</v>
      </c>
      <c r="F18">
        <v>55</v>
      </c>
      <c r="G18" s="1" t="str">
        <f>IF(Data_Analytics_Excel_Practice_Dataset[[#This Row],[Score]]&gt;=50,"pass","fail")</f>
        <v>pass</v>
      </c>
    </row>
    <row r="19" spans="1:7" x14ac:dyDescent="0.3">
      <c r="A19">
        <v>18</v>
      </c>
      <c r="B19" s="1" t="s">
        <v>9</v>
      </c>
      <c r="C19" s="1" t="s">
        <v>7</v>
      </c>
      <c r="D19" s="1" t="s">
        <v>16</v>
      </c>
      <c r="E19">
        <v>21</v>
      </c>
      <c r="F19">
        <v>99</v>
      </c>
      <c r="G19" s="1" t="str">
        <f>IF(Data_Analytics_Excel_Practice_Dataset[[#This Row],[Score]]&gt;=50,"pass","fail")</f>
        <v>pass</v>
      </c>
    </row>
    <row r="20" spans="1:7" x14ac:dyDescent="0.3">
      <c r="A20">
        <v>19</v>
      </c>
      <c r="B20" s="1" t="s">
        <v>6</v>
      </c>
      <c r="C20" s="1" t="s">
        <v>7</v>
      </c>
      <c r="D20" s="1" t="s">
        <v>11</v>
      </c>
      <c r="E20">
        <v>29</v>
      </c>
      <c r="F20">
        <v>81</v>
      </c>
      <c r="G20" s="1" t="str">
        <f>IF(Data_Analytics_Excel_Practice_Dataset[[#This Row],[Score]]&gt;=50,"pass","fail")</f>
        <v>pass</v>
      </c>
    </row>
    <row r="21" spans="1:7" x14ac:dyDescent="0.3">
      <c r="A21">
        <v>20</v>
      </c>
      <c r="B21" s="1" t="s">
        <v>15</v>
      </c>
      <c r="C21" s="1" t="s">
        <v>10</v>
      </c>
      <c r="D21" s="1" t="s">
        <v>8</v>
      </c>
      <c r="E21">
        <v>27</v>
      </c>
      <c r="F21">
        <v>95</v>
      </c>
      <c r="G21" s="1" t="str">
        <f>IF(Data_Analytics_Excel_Practice_Dataset[[#This Row],[Score]]&gt;=50,"pass","fail")</f>
        <v>pass</v>
      </c>
    </row>
    <row r="22" spans="1:7" x14ac:dyDescent="0.3">
      <c r="A22">
        <v>21</v>
      </c>
      <c r="B22" s="1" t="s">
        <v>19</v>
      </c>
      <c r="C22" s="1" t="s">
        <v>7</v>
      </c>
      <c r="D22" s="1" t="s">
        <v>16</v>
      </c>
      <c r="E22">
        <v>30</v>
      </c>
      <c r="F22">
        <v>91</v>
      </c>
      <c r="G22" s="1" t="str">
        <f>IF(Data_Analytics_Excel_Practice_Dataset[[#This Row],[Score]]&gt;=50,"pass","fail")</f>
        <v>pass</v>
      </c>
    </row>
    <row r="23" spans="1:7" x14ac:dyDescent="0.3">
      <c r="A23">
        <v>22</v>
      </c>
      <c r="B23" s="1" t="s">
        <v>6</v>
      </c>
      <c r="C23" s="1" t="s">
        <v>13</v>
      </c>
      <c r="D23" s="1" t="s">
        <v>16</v>
      </c>
      <c r="E23">
        <v>25</v>
      </c>
      <c r="F23">
        <v>50</v>
      </c>
      <c r="G23" s="1" t="str">
        <f>IF(Data_Analytics_Excel_Practice_Dataset[[#This Row],[Score]]&gt;=50,"pass","fail")</f>
        <v>pass</v>
      </c>
    </row>
    <row r="24" spans="1:7" x14ac:dyDescent="0.3">
      <c r="A24">
        <v>23</v>
      </c>
      <c r="B24" s="1" t="s">
        <v>12</v>
      </c>
      <c r="C24" s="1" t="s">
        <v>7</v>
      </c>
      <c r="D24" s="1" t="s">
        <v>16</v>
      </c>
      <c r="E24">
        <v>25</v>
      </c>
      <c r="F24">
        <v>75</v>
      </c>
      <c r="G24" s="1" t="str">
        <f>IF(Data_Analytics_Excel_Practice_Dataset[[#This Row],[Score]]&gt;=50,"pass","fail")</f>
        <v>pass</v>
      </c>
    </row>
    <row r="25" spans="1:7" x14ac:dyDescent="0.3">
      <c r="A25">
        <v>24</v>
      </c>
      <c r="B25" s="1" t="s">
        <v>17</v>
      </c>
      <c r="C25" s="1" t="s">
        <v>10</v>
      </c>
      <c r="D25" s="1" t="s">
        <v>16</v>
      </c>
      <c r="E25">
        <v>29</v>
      </c>
      <c r="F25">
        <v>79</v>
      </c>
      <c r="G25" s="1" t="str">
        <f>IF(Data_Analytics_Excel_Practice_Dataset[[#This Row],[Score]]&gt;=50,"pass","fail")</f>
        <v>pass</v>
      </c>
    </row>
    <row r="26" spans="1:7" x14ac:dyDescent="0.3">
      <c r="A26">
        <v>25</v>
      </c>
      <c r="B26" s="1" t="s">
        <v>18</v>
      </c>
      <c r="C26" s="1" t="s">
        <v>7</v>
      </c>
      <c r="D26" s="1" t="s">
        <v>16</v>
      </c>
      <c r="E26">
        <v>18</v>
      </c>
      <c r="F26">
        <v>74</v>
      </c>
      <c r="G26" s="1" t="str">
        <f>IF(Data_Analytics_Excel_Practice_Dataset[[#This Row],[Score]]&gt;=50,"pass","fail")</f>
        <v>pass</v>
      </c>
    </row>
    <row r="27" spans="1:7" x14ac:dyDescent="0.3">
      <c r="A27">
        <v>26</v>
      </c>
      <c r="B27" s="1" t="s">
        <v>17</v>
      </c>
      <c r="C27" s="1" t="s">
        <v>13</v>
      </c>
      <c r="D27" s="1" t="s">
        <v>16</v>
      </c>
      <c r="E27">
        <v>35</v>
      </c>
      <c r="F27">
        <v>63</v>
      </c>
      <c r="G27" s="1" t="str">
        <f>IF(Data_Analytics_Excel_Practice_Dataset[[#This Row],[Score]]&gt;=50,"pass","fail")</f>
        <v>pass</v>
      </c>
    </row>
    <row r="28" spans="1:7" x14ac:dyDescent="0.3">
      <c r="A28">
        <v>27</v>
      </c>
      <c r="B28" s="1" t="s">
        <v>14</v>
      </c>
      <c r="C28" s="1" t="s">
        <v>13</v>
      </c>
      <c r="D28" s="1" t="s">
        <v>11</v>
      </c>
      <c r="E28">
        <v>29</v>
      </c>
      <c r="F28">
        <v>86</v>
      </c>
      <c r="G28" s="1" t="str">
        <f>IF(Data_Analytics_Excel_Practice_Dataset[[#This Row],[Score]]&gt;=50,"pass","fail")</f>
        <v>pass</v>
      </c>
    </row>
    <row r="29" spans="1:7" x14ac:dyDescent="0.3">
      <c r="A29">
        <v>28</v>
      </c>
      <c r="B29" s="1" t="s">
        <v>17</v>
      </c>
      <c r="C29" s="1" t="s">
        <v>13</v>
      </c>
      <c r="D29" s="1" t="s">
        <v>16</v>
      </c>
      <c r="E29">
        <v>31</v>
      </c>
      <c r="F29">
        <v>81</v>
      </c>
      <c r="G29" s="1" t="str">
        <f>IF(Data_Analytics_Excel_Practice_Dataset[[#This Row],[Score]]&gt;=50,"pass","fail")</f>
        <v>pass</v>
      </c>
    </row>
    <row r="30" spans="1:7" x14ac:dyDescent="0.3">
      <c r="A30">
        <v>29</v>
      </c>
      <c r="B30" s="1" t="s">
        <v>20</v>
      </c>
      <c r="C30" s="1" t="s">
        <v>10</v>
      </c>
      <c r="D30" s="1" t="s">
        <v>11</v>
      </c>
      <c r="E30">
        <v>18</v>
      </c>
      <c r="F30">
        <v>84</v>
      </c>
      <c r="G30" s="1" t="str">
        <f>IF(Data_Analytics_Excel_Practice_Dataset[[#This Row],[Score]]&gt;=50,"pass","fail")</f>
        <v>pass</v>
      </c>
    </row>
    <row r="31" spans="1:7" x14ac:dyDescent="0.3">
      <c r="A31">
        <v>30</v>
      </c>
      <c r="B31" s="1" t="s">
        <v>17</v>
      </c>
      <c r="C31" s="1" t="s">
        <v>7</v>
      </c>
      <c r="D31" s="1" t="s">
        <v>16</v>
      </c>
      <c r="E31">
        <v>28</v>
      </c>
      <c r="F31">
        <v>79</v>
      </c>
      <c r="G31" s="1" t="str">
        <f>IF(Data_Analytics_Excel_Practice_Dataset[[#This Row],[Score]]&gt;=50,"pass","fail")</f>
        <v>pass</v>
      </c>
    </row>
    <row r="32" spans="1:7" x14ac:dyDescent="0.3">
      <c r="A32">
        <v>31</v>
      </c>
      <c r="B32" s="1" t="s">
        <v>19</v>
      </c>
      <c r="C32" s="1" t="s">
        <v>13</v>
      </c>
      <c r="D32" s="1" t="s">
        <v>8</v>
      </c>
      <c r="E32">
        <v>23</v>
      </c>
      <c r="F32">
        <v>85</v>
      </c>
      <c r="G32" s="1" t="str">
        <f>IF(Data_Analytics_Excel_Practice_Dataset[[#This Row],[Score]]&gt;=50,"pass","fail")</f>
        <v>pass</v>
      </c>
    </row>
    <row r="33" spans="1:7" x14ac:dyDescent="0.3">
      <c r="A33">
        <v>32</v>
      </c>
      <c r="B33" s="1" t="s">
        <v>19</v>
      </c>
      <c r="C33" s="1" t="s">
        <v>13</v>
      </c>
      <c r="D33" s="1" t="s">
        <v>8</v>
      </c>
      <c r="E33">
        <v>35</v>
      </c>
      <c r="F33">
        <v>66</v>
      </c>
      <c r="G33" s="1" t="str">
        <f>IF(Data_Analytics_Excel_Practice_Dataset[[#This Row],[Score]]&gt;=50,"pass","fail")</f>
        <v>pass</v>
      </c>
    </row>
    <row r="34" spans="1:7" x14ac:dyDescent="0.3">
      <c r="A34">
        <v>33</v>
      </c>
      <c r="B34" s="1" t="s">
        <v>15</v>
      </c>
      <c r="C34" s="1" t="s">
        <v>7</v>
      </c>
      <c r="D34" s="1" t="s">
        <v>8</v>
      </c>
      <c r="E34">
        <v>20</v>
      </c>
      <c r="F34">
        <v>51</v>
      </c>
      <c r="G34" s="1" t="str">
        <f>IF(Data_Analytics_Excel_Practice_Dataset[[#This Row],[Score]]&gt;=50,"pass","fail")</f>
        <v>pass</v>
      </c>
    </row>
    <row r="35" spans="1:7" x14ac:dyDescent="0.3">
      <c r="A35">
        <v>34</v>
      </c>
      <c r="B35" s="1" t="s">
        <v>9</v>
      </c>
      <c r="C35" s="1" t="s">
        <v>13</v>
      </c>
      <c r="D35" s="1" t="s">
        <v>11</v>
      </c>
      <c r="E35">
        <v>25</v>
      </c>
      <c r="F35">
        <v>67</v>
      </c>
      <c r="G35" s="1" t="str">
        <f>IF(Data_Analytics_Excel_Practice_Dataset[[#This Row],[Score]]&gt;=50,"pass","fail")</f>
        <v>pass</v>
      </c>
    </row>
    <row r="36" spans="1:7" x14ac:dyDescent="0.3">
      <c r="A36">
        <v>35</v>
      </c>
      <c r="B36" s="1" t="s">
        <v>21</v>
      </c>
      <c r="C36" s="1" t="s">
        <v>7</v>
      </c>
      <c r="D36" s="1" t="s">
        <v>8</v>
      </c>
      <c r="E36">
        <v>29</v>
      </c>
      <c r="F36">
        <v>68</v>
      </c>
      <c r="G36" s="1" t="str">
        <f>IF(Data_Analytics_Excel_Practice_Dataset[[#This Row],[Score]]&gt;=50,"pass","fail")</f>
        <v>pass</v>
      </c>
    </row>
    <row r="37" spans="1:7" x14ac:dyDescent="0.3">
      <c r="A37">
        <v>36</v>
      </c>
      <c r="B37" s="1" t="s">
        <v>21</v>
      </c>
      <c r="C37" s="1" t="s">
        <v>13</v>
      </c>
      <c r="D37" s="1" t="s">
        <v>8</v>
      </c>
      <c r="E37">
        <v>26</v>
      </c>
      <c r="F37">
        <v>83</v>
      </c>
      <c r="G37" s="1" t="str">
        <f>IF(Data_Analytics_Excel_Practice_Dataset[[#This Row],[Score]]&gt;=50,"pass","fail")</f>
        <v>pass</v>
      </c>
    </row>
    <row r="38" spans="1:7" x14ac:dyDescent="0.3">
      <c r="A38">
        <v>37</v>
      </c>
      <c r="B38" s="1" t="s">
        <v>6</v>
      </c>
      <c r="C38" s="1" t="s">
        <v>7</v>
      </c>
      <c r="D38" s="1" t="s">
        <v>11</v>
      </c>
      <c r="E38">
        <v>27</v>
      </c>
      <c r="F38">
        <v>79</v>
      </c>
      <c r="G38" s="1" t="str">
        <f>IF(Data_Analytics_Excel_Practice_Dataset[[#This Row],[Score]]&gt;=50,"pass","fail")</f>
        <v>pass</v>
      </c>
    </row>
    <row r="39" spans="1:7" x14ac:dyDescent="0.3">
      <c r="A39">
        <v>38</v>
      </c>
      <c r="B39" s="1" t="s">
        <v>20</v>
      </c>
      <c r="C39" s="1" t="s">
        <v>10</v>
      </c>
      <c r="D39" s="1" t="s">
        <v>11</v>
      </c>
      <c r="E39">
        <v>21</v>
      </c>
      <c r="F39">
        <v>51</v>
      </c>
      <c r="G39" s="1" t="str">
        <f>IF(Data_Analytics_Excel_Practice_Dataset[[#This Row],[Score]]&gt;=50,"pass","fail")</f>
        <v>pass</v>
      </c>
    </row>
    <row r="40" spans="1:7" x14ac:dyDescent="0.3">
      <c r="A40">
        <v>39</v>
      </c>
      <c r="B40" s="1" t="s">
        <v>18</v>
      </c>
      <c r="C40" s="1" t="s">
        <v>10</v>
      </c>
      <c r="D40" s="1" t="s">
        <v>11</v>
      </c>
      <c r="E40">
        <v>31</v>
      </c>
      <c r="F40">
        <v>100</v>
      </c>
      <c r="G40" s="1" t="str">
        <f>IF(Data_Analytics_Excel_Practice_Dataset[[#This Row],[Score]]&gt;=50,"pass","fail")</f>
        <v>pass</v>
      </c>
    </row>
    <row r="41" spans="1:7" x14ac:dyDescent="0.3">
      <c r="A41">
        <v>40</v>
      </c>
      <c r="B41" s="1" t="s">
        <v>12</v>
      </c>
      <c r="C41" s="1" t="s">
        <v>10</v>
      </c>
      <c r="D41" s="1" t="s">
        <v>8</v>
      </c>
      <c r="E41">
        <v>26</v>
      </c>
      <c r="F41">
        <v>96</v>
      </c>
      <c r="G41" s="1" t="str">
        <f>IF(Data_Analytics_Excel_Practice_Dataset[[#This Row],[Score]]&gt;=50,"pass","fail")</f>
        <v>pass</v>
      </c>
    </row>
    <row r="42" spans="1:7" x14ac:dyDescent="0.3">
      <c r="A42">
        <v>41</v>
      </c>
      <c r="B42" s="1" t="s">
        <v>17</v>
      </c>
      <c r="C42" s="1" t="s">
        <v>13</v>
      </c>
      <c r="D42" s="1" t="s">
        <v>16</v>
      </c>
      <c r="E42">
        <v>31</v>
      </c>
      <c r="F42">
        <v>51</v>
      </c>
      <c r="G42" s="1" t="str">
        <f>IF(Data_Analytics_Excel_Practice_Dataset[[#This Row],[Score]]&gt;=50,"pass","fail")</f>
        <v>pass</v>
      </c>
    </row>
    <row r="43" spans="1:7" x14ac:dyDescent="0.3">
      <c r="A43">
        <v>42</v>
      </c>
      <c r="B43" s="1" t="s">
        <v>12</v>
      </c>
      <c r="C43" s="1" t="s">
        <v>13</v>
      </c>
      <c r="D43" s="1" t="s">
        <v>11</v>
      </c>
      <c r="E43">
        <v>22</v>
      </c>
      <c r="F43">
        <v>52</v>
      </c>
      <c r="G43" s="1" t="str">
        <f>IF(Data_Analytics_Excel_Practice_Dataset[[#This Row],[Score]]&gt;=50,"pass","fail")</f>
        <v>pass</v>
      </c>
    </row>
    <row r="44" spans="1:7" x14ac:dyDescent="0.3">
      <c r="A44">
        <v>43</v>
      </c>
      <c r="B44" s="1" t="s">
        <v>6</v>
      </c>
      <c r="C44" s="1" t="s">
        <v>10</v>
      </c>
      <c r="D44" s="1" t="s">
        <v>16</v>
      </c>
      <c r="E44">
        <v>34</v>
      </c>
      <c r="F44">
        <v>93</v>
      </c>
      <c r="G44" s="1" t="str">
        <f>IF(Data_Analytics_Excel_Practice_Dataset[[#This Row],[Score]]&gt;=50,"pass","fail")</f>
        <v>pass</v>
      </c>
    </row>
    <row r="45" spans="1:7" x14ac:dyDescent="0.3">
      <c r="A45">
        <v>44</v>
      </c>
      <c r="B45" s="1" t="s">
        <v>14</v>
      </c>
      <c r="C45" s="1" t="s">
        <v>7</v>
      </c>
      <c r="D45" s="1" t="s">
        <v>8</v>
      </c>
      <c r="E45">
        <v>34</v>
      </c>
      <c r="F45">
        <v>78</v>
      </c>
      <c r="G45" s="1" t="str">
        <f>IF(Data_Analytics_Excel_Practice_Dataset[[#This Row],[Score]]&gt;=50,"pass","fail")</f>
        <v>pass</v>
      </c>
    </row>
    <row r="46" spans="1:7" x14ac:dyDescent="0.3">
      <c r="A46">
        <v>45</v>
      </c>
      <c r="B46" s="1" t="s">
        <v>12</v>
      </c>
      <c r="C46" s="1" t="s">
        <v>7</v>
      </c>
      <c r="D46" s="1" t="s">
        <v>16</v>
      </c>
      <c r="E46">
        <v>18</v>
      </c>
      <c r="F46">
        <v>75</v>
      </c>
      <c r="G46" s="1" t="str">
        <f>IF(Data_Analytics_Excel_Practice_Dataset[[#This Row],[Score]]&gt;=50,"pass","fail")</f>
        <v>pass</v>
      </c>
    </row>
    <row r="47" spans="1:7" x14ac:dyDescent="0.3">
      <c r="A47">
        <v>46</v>
      </c>
      <c r="B47" s="1" t="s">
        <v>19</v>
      </c>
      <c r="C47" s="1" t="s">
        <v>10</v>
      </c>
      <c r="D47" s="1" t="s">
        <v>16</v>
      </c>
      <c r="E47">
        <v>31</v>
      </c>
      <c r="F47">
        <v>53</v>
      </c>
      <c r="G47" s="1" t="str">
        <f>IF(Data_Analytics_Excel_Practice_Dataset[[#This Row],[Score]]&gt;=50,"pass","fail")</f>
        <v>pass</v>
      </c>
    </row>
    <row r="48" spans="1:7" x14ac:dyDescent="0.3">
      <c r="A48">
        <v>47</v>
      </c>
      <c r="B48" s="1" t="s">
        <v>18</v>
      </c>
      <c r="C48" s="1" t="s">
        <v>13</v>
      </c>
      <c r="D48" s="1" t="s">
        <v>8</v>
      </c>
      <c r="E48">
        <v>19</v>
      </c>
      <c r="F48">
        <v>69</v>
      </c>
      <c r="G48" s="1" t="str">
        <f>IF(Data_Analytics_Excel_Practice_Dataset[[#This Row],[Score]]&gt;=50,"pass","fail")</f>
        <v>pass</v>
      </c>
    </row>
    <row r="49" spans="1:7" x14ac:dyDescent="0.3">
      <c r="A49">
        <v>48</v>
      </c>
      <c r="B49" s="1" t="s">
        <v>21</v>
      </c>
      <c r="C49" s="1" t="s">
        <v>13</v>
      </c>
      <c r="D49" s="1" t="s">
        <v>11</v>
      </c>
      <c r="E49">
        <v>27</v>
      </c>
      <c r="F49">
        <v>97</v>
      </c>
      <c r="G49" s="1" t="str">
        <f>IF(Data_Analytics_Excel_Practice_Dataset[[#This Row],[Score]]&gt;=50,"pass","fail")</f>
        <v>pass</v>
      </c>
    </row>
    <row r="50" spans="1:7" x14ac:dyDescent="0.3">
      <c r="A50">
        <v>49</v>
      </c>
      <c r="B50" s="1" t="s">
        <v>6</v>
      </c>
      <c r="C50" s="1" t="s">
        <v>10</v>
      </c>
      <c r="D50" s="1" t="s">
        <v>16</v>
      </c>
      <c r="E50">
        <v>26</v>
      </c>
      <c r="F50">
        <v>58</v>
      </c>
      <c r="G50" s="1" t="str">
        <f>IF(Data_Analytics_Excel_Practice_Dataset[[#This Row],[Score]]&gt;=50,"pass","fail")</f>
        <v>pass</v>
      </c>
    </row>
    <row r="51" spans="1:7" x14ac:dyDescent="0.3">
      <c r="A51">
        <v>50</v>
      </c>
      <c r="B51" s="1" t="s">
        <v>15</v>
      </c>
      <c r="C51" s="1" t="s">
        <v>7</v>
      </c>
      <c r="D51" s="1" t="s">
        <v>8</v>
      </c>
      <c r="E51">
        <v>24</v>
      </c>
      <c r="F51">
        <v>86</v>
      </c>
      <c r="G51" s="1" t="str">
        <f>IF(Data_Analytics_Excel_Practice_Dataset[[#This Row],[Score]]&gt;=50,"pass","fail")</f>
        <v>pass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CD081-E3E4-42CC-813E-D867093CADA1}">
  <dimension ref="A1:L10"/>
  <sheetViews>
    <sheetView workbookViewId="0">
      <selection sqref="A1:C10"/>
    </sheetView>
  </sheetViews>
  <sheetFormatPr defaultRowHeight="14.4" x14ac:dyDescent="0.3"/>
  <cols>
    <col min="1" max="1" width="12" bestFit="1" customWidth="1"/>
    <col min="3" max="3" width="15.33203125" bestFit="1" customWidth="1"/>
    <col min="9" max="9" width="13.109375" bestFit="1" customWidth="1"/>
    <col min="11" max="11" width="14.88671875" bestFit="1" customWidth="1"/>
    <col min="12" max="12" width="12" bestFit="1" customWidth="1"/>
  </cols>
  <sheetData>
    <row r="1" spans="1:12" x14ac:dyDescent="0.3">
      <c r="A1" t="s">
        <v>1</v>
      </c>
      <c r="B1" t="s">
        <v>43</v>
      </c>
      <c r="C1" t="s">
        <v>44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</row>
    <row r="2" spans="1:12" x14ac:dyDescent="0.3">
      <c r="A2" t="s">
        <v>35</v>
      </c>
      <c r="B2">
        <v>9856</v>
      </c>
      <c r="C2" t="s">
        <v>45</v>
      </c>
      <c r="G2" t="str">
        <f>LEFT(A2,4)</f>
        <v>keer</v>
      </c>
      <c r="H2" t="str">
        <f>RIGHT(A2,3)</f>
        <v>i m</v>
      </c>
      <c r="I2" t="str">
        <f>PROPER(A2)</f>
        <v>Keerthi M</v>
      </c>
      <c r="J2" t="str">
        <f>MID(A2,2,5)</f>
        <v>eerth</v>
      </c>
      <c r="K2" t="str">
        <f>UPPER(A2)</f>
        <v>KEERTHI M</v>
      </c>
      <c r="L2" t="str">
        <f>LOWER(A2)</f>
        <v>keerthi m</v>
      </c>
    </row>
    <row r="3" spans="1:12" x14ac:dyDescent="0.3">
      <c r="A3" t="s">
        <v>36</v>
      </c>
      <c r="B3">
        <v>5236</v>
      </c>
      <c r="C3" t="s">
        <v>46</v>
      </c>
      <c r="G3" t="str">
        <f>LEFT(A3,4)</f>
        <v>riya</v>
      </c>
      <c r="H3" t="str">
        <f>RIGHT(A3,3)</f>
        <v>r s</v>
      </c>
      <c r="I3" t="str">
        <f>PROPER(A3)</f>
        <v>Riya R S</v>
      </c>
      <c r="J3" t="str">
        <f>MID(A3,2,5)</f>
        <v>iya r</v>
      </c>
      <c r="K3" t="str">
        <f>UPPER(A3)</f>
        <v>RIYA R S</v>
      </c>
      <c r="L3" t="str">
        <f>LOWER(A3)</f>
        <v>riya r s</v>
      </c>
    </row>
    <row r="4" spans="1:12" x14ac:dyDescent="0.3">
      <c r="A4" t="s">
        <v>37</v>
      </c>
      <c r="B4">
        <v>4456</v>
      </c>
      <c r="C4" t="s">
        <v>47</v>
      </c>
      <c r="G4" t="str">
        <f>LEFT(A4,4)</f>
        <v>dhiy</v>
      </c>
      <c r="H4" t="str">
        <f>RIGHT(A4,3)</f>
        <v>a e</v>
      </c>
      <c r="I4" t="str">
        <f>PROPER(A4)</f>
        <v>Dhiya E</v>
      </c>
      <c r="J4" t="str">
        <f>MID(A4,2,5)</f>
        <v xml:space="preserve">hiya </v>
      </c>
      <c r="K4" t="str">
        <f>UPPER(A4)</f>
        <v>DHIYA E</v>
      </c>
      <c r="L4" t="str">
        <f>LOWER(A4)</f>
        <v>dhiya e</v>
      </c>
    </row>
    <row r="5" spans="1:12" x14ac:dyDescent="0.3">
      <c r="A5" t="s">
        <v>38</v>
      </c>
      <c r="B5">
        <v>1111</v>
      </c>
      <c r="C5" t="s">
        <v>48</v>
      </c>
      <c r="G5" t="str">
        <f>LEFT(A5,4)</f>
        <v>rith</v>
      </c>
      <c r="H5" t="str">
        <f>RIGHT(A5,3)</f>
        <v>u m</v>
      </c>
      <c r="I5" t="str">
        <f>PROPER(A5)</f>
        <v>Rithu M</v>
      </c>
      <c r="J5" t="str">
        <f>MID(A5,2,5)</f>
        <v xml:space="preserve">ithu </v>
      </c>
      <c r="K5" t="str">
        <f>UPPER(A5)</f>
        <v>RITHU M</v>
      </c>
      <c r="L5" t="str">
        <f>LOWER(A5)</f>
        <v>rithu m</v>
      </c>
    </row>
    <row r="6" spans="1:12" x14ac:dyDescent="0.3">
      <c r="A6" t="s">
        <v>39</v>
      </c>
      <c r="B6">
        <v>7456</v>
      </c>
      <c r="C6" t="s">
        <v>49</v>
      </c>
      <c r="G6" t="str">
        <f>LEFT(A6,4)</f>
        <v>amit</v>
      </c>
      <c r="H6" t="str">
        <f>RIGHT(A6,3)</f>
        <v>ish</v>
      </c>
      <c r="I6" t="str">
        <f>PROPER(A6)</f>
        <v>Amitha Girish</v>
      </c>
      <c r="J6" t="str">
        <f>MID(A6,2,5)</f>
        <v>mitha</v>
      </c>
      <c r="K6" t="str">
        <f>UPPER(A6)</f>
        <v>AMITHA GIRISH</v>
      </c>
      <c r="L6" t="str">
        <f>LOWER(A6)</f>
        <v>amitha girish</v>
      </c>
    </row>
    <row r="7" spans="1:12" x14ac:dyDescent="0.3">
      <c r="A7" t="s">
        <v>40</v>
      </c>
      <c r="B7">
        <v>2569</v>
      </c>
      <c r="C7" t="s">
        <v>50</v>
      </c>
      <c r="G7" t="str">
        <f>LEFT(A7,4)</f>
        <v>devi</v>
      </c>
      <c r="H7" t="str">
        <f>RIGHT(A7,3)</f>
        <v>air</v>
      </c>
      <c r="I7" t="str">
        <f>PROPER(A7)</f>
        <v>Devika V Nair</v>
      </c>
      <c r="J7" t="str">
        <f>MID(A7,2,5)</f>
        <v>evika</v>
      </c>
      <c r="K7" t="str">
        <f>UPPER(A7)</f>
        <v>DEVIKA V NAIR</v>
      </c>
      <c r="L7" t="str">
        <f>LOWER(A7)</f>
        <v>devika v nair</v>
      </c>
    </row>
    <row r="8" spans="1:12" x14ac:dyDescent="0.3">
      <c r="A8" t="s">
        <v>41</v>
      </c>
      <c r="B8">
        <v>7458</v>
      </c>
      <c r="C8" t="s">
        <v>51</v>
      </c>
      <c r="G8" t="str">
        <f>LEFT(A8,4)</f>
        <v>soor</v>
      </c>
      <c r="H8" t="str">
        <f>RIGHT(A8,3)</f>
        <v>s p</v>
      </c>
      <c r="I8" t="str">
        <f>PROPER(A8)</f>
        <v>Sooraj S P</v>
      </c>
      <c r="J8" t="str">
        <f>MID(A8,2,5)</f>
        <v>ooraj</v>
      </c>
      <c r="K8" t="str">
        <f>UPPER(A8)</f>
        <v>SOORAJ S P</v>
      </c>
      <c r="L8" t="str">
        <f>LOWER(A8)</f>
        <v>sooraj s p</v>
      </c>
    </row>
    <row r="9" spans="1:12" x14ac:dyDescent="0.3">
      <c r="A9" t="s">
        <v>42</v>
      </c>
      <c r="B9">
        <v>5682</v>
      </c>
      <c r="C9" t="s">
        <v>52</v>
      </c>
      <c r="G9" t="str">
        <f>LEFT(A9,4)</f>
        <v>goku</v>
      </c>
      <c r="H9" t="str">
        <f>RIGHT(A9,3)</f>
        <v>c s</v>
      </c>
      <c r="I9" t="str">
        <f>PROPER(A9)</f>
        <v>Gokul Nath C S</v>
      </c>
      <c r="J9" t="str">
        <f>MID(A9,2,5)</f>
        <v xml:space="preserve">okul </v>
      </c>
      <c r="K9" t="str">
        <f>UPPER(A9)</f>
        <v>GOKUL NATH C S</v>
      </c>
      <c r="L9" t="str">
        <f>LOWER(A9)</f>
        <v>gokul nath c s</v>
      </c>
    </row>
    <row r="10" spans="1:12" x14ac:dyDescent="0.3">
      <c r="A10" t="s">
        <v>122</v>
      </c>
      <c r="B10">
        <v>4526</v>
      </c>
      <c r="C10" t="s">
        <v>123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9D6E-C9FF-4483-8DBC-CD6E6D4339DC}">
  <dimension ref="A1:E10"/>
  <sheetViews>
    <sheetView workbookViewId="0">
      <selection activeCell="A10" sqref="A10"/>
    </sheetView>
  </sheetViews>
  <sheetFormatPr defaultRowHeight="14.4" x14ac:dyDescent="0.3"/>
  <cols>
    <col min="1" max="1" width="13.21875" customWidth="1"/>
    <col min="2" max="2" width="12.77734375" customWidth="1"/>
    <col min="4" max="5" width="12.6640625" customWidth="1"/>
  </cols>
  <sheetData>
    <row r="1" spans="1:5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3">
      <c r="A2" t="str">
        <f>LEFT(Sheet1!A2, FIND(" ",Sheet1!A2)-1)</f>
        <v>keerthi</v>
      </c>
      <c r="B2" t="str">
        <f>RIGHT(Sheet1!A2, LEN(Sheet1!A2) - FIND(" ", Sheet1!A2))</f>
        <v>m</v>
      </c>
      <c r="C2">
        <f>Sheet1!B2</f>
        <v>9856</v>
      </c>
      <c r="D2" t="str">
        <f>_xlfn.CONCAT(A2,"_",C2)</f>
        <v>keerthi_9856</v>
      </c>
      <c r="E2" t="str">
        <f>_xlfn.CONCAT(A2,RIGHT(C2,4))</f>
        <v>keerthi9856</v>
      </c>
    </row>
    <row r="3" spans="1:5" x14ac:dyDescent="0.3">
      <c r="A3" t="str">
        <f>LEFT(Sheet1!A3, FIND(" ",Sheet1!A3)-1)</f>
        <v>riya</v>
      </c>
      <c r="B3" t="str">
        <f>RIGHT(Sheet1!A3, LEN(Sheet1!A3) - FIND(" ", Sheet1!A3))</f>
        <v>r s</v>
      </c>
      <c r="C3">
        <f>Sheet1!B3</f>
        <v>5236</v>
      </c>
      <c r="D3" t="str">
        <f t="shared" ref="D3:D9" si="0">_xlfn.CONCAT(A3,"_",C3)</f>
        <v>riya_5236</v>
      </c>
      <c r="E3" t="str">
        <f t="shared" ref="E3:E9" si="1">_xlfn.CONCAT(A3,RIGHT(C3,4))</f>
        <v>riya5236</v>
      </c>
    </row>
    <row r="4" spans="1:5" x14ac:dyDescent="0.3">
      <c r="A4" t="str">
        <f>LEFT(Sheet1!A4, FIND(" ",Sheet1!A4)-1)</f>
        <v>dhiya</v>
      </c>
      <c r="B4" t="str">
        <f>RIGHT(Sheet1!A4, LEN(Sheet1!A4) - FIND(" ", Sheet1!A4))</f>
        <v>e</v>
      </c>
      <c r="C4">
        <f>Sheet1!B4</f>
        <v>4456</v>
      </c>
      <c r="D4" t="str">
        <f t="shared" si="0"/>
        <v>dhiya_4456</v>
      </c>
      <c r="E4" t="str">
        <f t="shared" si="1"/>
        <v>dhiya4456</v>
      </c>
    </row>
    <row r="5" spans="1:5" x14ac:dyDescent="0.3">
      <c r="A5" t="str">
        <f>LEFT(Sheet1!A5, FIND(" ",Sheet1!A5)-1)</f>
        <v>rithu</v>
      </c>
      <c r="B5" t="str">
        <f>RIGHT(Sheet1!A5, LEN(Sheet1!A5) - FIND(" ", Sheet1!A5))</f>
        <v>m</v>
      </c>
      <c r="C5">
        <f>Sheet1!B5</f>
        <v>1111</v>
      </c>
      <c r="D5" t="str">
        <f t="shared" si="0"/>
        <v>rithu_1111</v>
      </c>
      <c r="E5" t="str">
        <f t="shared" si="1"/>
        <v>rithu1111</v>
      </c>
    </row>
    <row r="6" spans="1:5" x14ac:dyDescent="0.3">
      <c r="A6" t="str">
        <f>LEFT(Sheet1!A6, FIND(" ",Sheet1!A6)-1)</f>
        <v>amitha</v>
      </c>
      <c r="B6" t="str">
        <f>RIGHT(Sheet1!A6, LEN(Sheet1!A6) - FIND(" ", Sheet1!A6))</f>
        <v>girish</v>
      </c>
      <c r="C6">
        <f>Sheet1!B6</f>
        <v>7456</v>
      </c>
      <c r="D6" t="str">
        <f t="shared" si="0"/>
        <v>amitha_7456</v>
      </c>
      <c r="E6" t="str">
        <f t="shared" si="1"/>
        <v>amitha7456</v>
      </c>
    </row>
    <row r="7" spans="1:5" x14ac:dyDescent="0.3">
      <c r="A7" t="str">
        <f>LEFT(Sheet1!A7, FIND(" ",Sheet1!A7)-1)</f>
        <v>devika</v>
      </c>
      <c r="B7" t="str">
        <f>RIGHT(Sheet1!A7, LEN(Sheet1!A7) - FIND(" ", Sheet1!A7))</f>
        <v>v nair</v>
      </c>
      <c r="C7">
        <f>Sheet1!B7</f>
        <v>2569</v>
      </c>
      <c r="D7" t="str">
        <f t="shared" si="0"/>
        <v>devika_2569</v>
      </c>
      <c r="E7" t="str">
        <f t="shared" si="1"/>
        <v>devika2569</v>
      </c>
    </row>
    <row r="8" spans="1:5" x14ac:dyDescent="0.3">
      <c r="A8" t="str">
        <f>LEFT(Sheet1!A8, FIND(" ",Sheet1!A8)-1)</f>
        <v>sooraj</v>
      </c>
      <c r="B8" t="str">
        <f>RIGHT(Sheet1!A8, LEN(Sheet1!A8) - FIND(" ", Sheet1!A8))</f>
        <v>s p</v>
      </c>
      <c r="C8">
        <f>Sheet1!B8</f>
        <v>7458</v>
      </c>
      <c r="D8" t="str">
        <f t="shared" si="0"/>
        <v>sooraj_7458</v>
      </c>
      <c r="E8" t="str">
        <f t="shared" si="1"/>
        <v>sooraj7458</v>
      </c>
    </row>
    <row r="9" spans="1:5" x14ac:dyDescent="0.3">
      <c r="A9" t="str">
        <f>LEFT(Sheet1!A9, FIND(" ",Sheet1!A9)-1)</f>
        <v>gokul</v>
      </c>
      <c r="B9" t="str">
        <f>RIGHT(Sheet1!A9, LEN(Sheet1!A9) - FIND(" ", Sheet1!A9))</f>
        <v>nath c s</v>
      </c>
      <c r="C9">
        <f>Sheet1!B9</f>
        <v>5682</v>
      </c>
      <c r="D9" t="str">
        <f t="shared" si="0"/>
        <v>gokul_5682</v>
      </c>
      <c r="E9" t="str">
        <f t="shared" si="1"/>
        <v>gokul5682</v>
      </c>
    </row>
    <row r="10" spans="1:5" x14ac:dyDescent="0.3">
      <c r="E10" t="str">
        <f>_xlfn.CONCAT(A10,RIGHT(C10,4))</f>
        <v/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021D-F65B-4C05-9E24-E5B6882C1B39}">
  <dimension ref="A1:E10"/>
  <sheetViews>
    <sheetView workbookViewId="0">
      <selection activeCell="E10" sqref="E10"/>
    </sheetView>
  </sheetViews>
  <sheetFormatPr defaultRowHeight="14.4" x14ac:dyDescent="0.3"/>
  <cols>
    <col min="1" max="1" width="13.5546875" bestFit="1" customWidth="1"/>
    <col min="2" max="2" width="13.109375" bestFit="1" customWidth="1"/>
    <col min="3" max="3" width="7.88671875" bestFit="1" customWidth="1"/>
    <col min="4" max="5" width="13" bestFit="1" customWidth="1"/>
  </cols>
  <sheetData>
    <row r="1" spans="1:5" x14ac:dyDescent="0.3">
      <c r="A1" t="s">
        <v>59</v>
      </c>
      <c r="B1" t="s">
        <v>60</v>
      </c>
      <c r="C1" t="s">
        <v>61</v>
      </c>
      <c r="D1" t="s">
        <v>62</v>
      </c>
      <c r="E1" t="s">
        <v>63</v>
      </c>
    </row>
    <row r="2" spans="1:5" x14ac:dyDescent="0.3">
      <c r="A2" s="1" t="s">
        <v>64</v>
      </c>
      <c r="B2" s="1" t="s">
        <v>65</v>
      </c>
      <c r="C2">
        <v>9856</v>
      </c>
      <c r="D2" s="1" t="s">
        <v>66</v>
      </c>
      <c r="E2" s="1" t="s">
        <v>67</v>
      </c>
    </row>
    <row r="3" spans="1:5" x14ac:dyDescent="0.3">
      <c r="A3" s="1" t="s">
        <v>68</v>
      </c>
      <c r="B3" s="1" t="s">
        <v>69</v>
      </c>
      <c r="C3">
        <v>5236</v>
      </c>
      <c r="D3" s="1" t="s">
        <v>70</v>
      </c>
      <c r="E3" s="1" t="s">
        <v>71</v>
      </c>
    </row>
    <row r="4" spans="1:5" x14ac:dyDescent="0.3">
      <c r="A4" s="1" t="s">
        <v>72</v>
      </c>
      <c r="B4" s="1" t="s">
        <v>73</v>
      </c>
      <c r="C4">
        <v>4456</v>
      </c>
      <c r="D4" s="1" t="s">
        <v>74</v>
      </c>
      <c r="E4" s="1" t="s">
        <v>75</v>
      </c>
    </row>
    <row r="5" spans="1:5" x14ac:dyDescent="0.3">
      <c r="A5" s="1" t="s">
        <v>76</v>
      </c>
      <c r="B5" s="1" t="s">
        <v>65</v>
      </c>
      <c r="C5">
        <v>1111</v>
      </c>
      <c r="D5" s="1" t="s">
        <v>77</v>
      </c>
      <c r="E5" s="1" t="s">
        <v>78</v>
      </c>
    </row>
    <row r="6" spans="1:5" x14ac:dyDescent="0.3">
      <c r="A6" s="1" t="s">
        <v>79</v>
      </c>
      <c r="B6" s="1" t="s">
        <v>80</v>
      </c>
      <c r="C6">
        <v>7456</v>
      </c>
      <c r="D6" s="1" t="s">
        <v>81</v>
      </c>
      <c r="E6" s="1" t="s">
        <v>82</v>
      </c>
    </row>
    <row r="7" spans="1:5" x14ac:dyDescent="0.3">
      <c r="A7" s="1" t="s">
        <v>83</v>
      </c>
      <c r="B7" s="1" t="s">
        <v>84</v>
      </c>
      <c r="C7">
        <v>2569</v>
      </c>
      <c r="D7" s="1" t="s">
        <v>85</v>
      </c>
      <c r="E7" s="1" t="s">
        <v>86</v>
      </c>
    </row>
    <row r="8" spans="1:5" x14ac:dyDescent="0.3">
      <c r="A8" s="1" t="s">
        <v>87</v>
      </c>
      <c r="B8" s="1" t="s">
        <v>88</v>
      </c>
      <c r="C8">
        <v>7458</v>
      </c>
      <c r="D8" s="1" t="s">
        <v>89</v>
      </c>
      <c r="E8" s="1" t="s">
        <v>90</v>
      </c>
    </row>
    <row r="9" spans="1:5" x14ac:dyDescent="0.3">
      <c r="A9" s="1" t="s">
        <v>91</v>
      </c>
      <c r="B9" s="1" t="s">
        <v>92</v>
      </c>
      <c r="C9">
        <v>5682</v>
      </c>
      <c r="D9" s="1" t="s">
        <v>93</v>
      </c>
      <c r="E9" s="1" t="s">
        <v>94</v>
      </c>
    </row>
    <row r="10" spans="1:5" x14ac:dyDescent="0.3">
      <c r="A10" s="1"/>
      <c r="B10" s="1"/>
      <c r="D10" s="1"/>
      <c r="E1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6148-2D46-4E48-9270-EE5C97CDC814}">
  <dimension ref="A1:J16"/>
  <sheetViews>
    <sheetView tabSelected="1" workbookViewId="0">
      <selection activeCell="J17" sqref="J17"/>
    </sheetView>
  </sheetViews>
  <sheetFormatPr defaultRowHeight="14.4" x14ac:dyDescent="0.3"/>
  <cols>
    <col min="1" max="1" width="13.5546875" bestFit="1" customWidth="1"/>
    <col min="2" max="2" width="13.109375" bestFit="1" customWidth="1"/>
    <col min="3" max="3" width="10.5546875" bestFit="1" customWidth="1"/>
    <col min="4" max="4" width="15.33203125" bestFit="1" customWidth="1"/>
    <col min="5" max="5" width="12.109375" bestFit="1" customWidth="1"/>
    <col min="6" max="6" width="13" bestFit="1" customWidth="1"/>
    <col min="7" max="7" width="11.21875" bestFit="1" customWidth="1"/>
    <col min="10" max="10" width="73.77734375" bestFit="1" customWidth="1"/>
  </cols>
  <sheetData>
    <row r="1" spans="1:10" x14ac:dyDescent="0.3">
      <c r="A1" t="s">
        <v>59</v>
      </c>
      <c r="B1" t="s">
        <v>60</v>
      </c>
      <c r="C1" t="s">
        <v>95</v>
      </c>
      <c r="D1" t="s">
        <v>44</v>
      </c>
      <c r="E1" t="s">
        <v>96</v>
      </c>
      <c r="F1" t="s">
        <v>62</v>
      </c>
      <c r="G1" t="s">
        <v>97</v>
      </c>
    </row>
    <row r="2" spans="1:10" x14ac:dyDescent="0.3">
      <c r="A2" s="1" t="s">
        <v>64</v>
      </c>
      <c r="B2" s="1" t="s">
        <v>65</v>
      </c>
      <c r="C2">
        <v>9856</v>
      </c>
      <c r="D2" s="1" t="s">
        <v>45</v>
      </c>
      <c r="E2" s="1" t="s">
        <v>98</v>
      </c>
      <c r="F2" s="1" t="s">
        <v>99</v>
      </c>
      <c r="G2" t="s">
        <v>100</v>
      </c>
    </row>
    <row r="3" spans="1:10" x14ac:dyDescent="0.3">
      <c r="A3" s="1" t="s">
        <v>68</v>
      </c>
      <c r="B3" s="1" t="s">
        <v>69</v>
      </c>
      <c r="C3">
        <v>5236</v>
      </c>
      <c r="D3" s="1" t="s">
        <v>46</v>
      </c>
      <c r="E3" s="1" t="s">
        <v>101</v>
      </c>
      <c r="F3" s="1" t="s">
        <v>102</v>
      </c>
      <c r="G3" t="s">
        <v>103</v>
      </c>
    </row>
    <row r="4" spans="1:10" x14ac:dyDescent="0.3">
      <c r="A4" s="1" t="s">
        <v>72</v>
      </c>
      <c r="B4" s="1" t="s">
        <v>73</v>
      </c>
      <c r="C4">
        <v>4456</v>
      </c>
      <c r="D4" s="1" t="s">
        <v>47</v>
      </c>
      <c r="E4" s="1" t="s">
        <v>104</v>
      </c>
      <c r="F4" s="1" t="s">
        <v>105</v>
      </c>
      <c r="G4" t="s">
        <v>106</v>
      </c>
    </row>
    <row r="5" spans="1:10" x14ac:dyDescent="0.3">
      <c r="A5" s="1" t="s">
        <v>76</v>
      </c>
      <c r="B5" s="1" t="s">
        <v>65</v>
      </c>
      <c r="C5">
        <v>1111</v>
      </c>
      <c r="D5" s="1" t="s">
        <v>48</v>
      </c>
      <c r="E5" s="1" t="s">
        <v>107</v>
      </c>
      <c r="F5" s="1" t="s">
        <v>108</v>
      </c>
      <c r="G5" t="s">
        <v>109</v>
      </c>
    </row>
    <row r="6" spans="1:10" x14ac:dyDescent="0.3">
      <c r="A6" s="1" t="s">
        <v>79</v>
      </c>
      <c r="B6" s="1" t="s">
        <v>80</v>
      </c>
      <c r="C6">
        <v>7456</v>
      </c>
      <c r="D6" s="1" t="s">
        <v>49</v>
      </c>
      <c r="E6" s="1" t="s">
        <v>110</v>
      </c>
      <c r="F6" s="1" t="s">
        <v>111</v>
      </c>
      <c r="G6" t="s">
        <v>112</v>
      </c>
    </row>
    <row r="7" spans="1:10" x14ac:dyDescent="0.3">
      <c r="A7" s="1" t="s">
        <v>83</v>
      </c>
      <c r="B7" s="1" t="s">
        <v>84</v>
      </c>
      <c r="C7">
        <v>2569</v>
      </c>
      <c r="D7" s="1" t="s">
        <v>50</v>
      </c>
      <c r="E7" s="1" t="s">
        <v>113</v>
      </c>
      <c r="F7" s="1" t="s">
        <v>114</v>
      </c>
      <c r="G7" t="s">
        <v>115</v>
      </c>
    </row>
    <row r="8" spans="1:10" x14ac:dyDescent="0.3">
      <c r="A8" s="1" t="s">
        <v>87</v>
      </c>
      <c r="B8" s="1" t="s">
        <v>88</v>
      </c>
      <c r="C8">
        <v>7458</v>
      </c>
      <c r="D8" s="1" t="s">
        <v>51</v>
      </c>
      <c r="E8" s="1" t="s">
        <v>116</v>
      </c>
      <c r="F8" s="1" t="s">
        <v>117</v>
      </c>
      <c r="G8" t="s">
        <v>118</v>
      </c>
    </row>
    <row r="9" spans="1:10" x14ac:dyDescent="0.3">
      <c r="A9" s="1" t="s">
        <v>91</v>
      </c>
      <c r="B9" s="1" t="s">
        <v>92</v>
      </c>
      <c r="C9">
        <v>5682</v>
      </c>
      <c r="D9" s="1" t="s">
        <v>52</v>
      </c>
      <c r="E9" s="1" t="s">
        <v>119</v>
      </c>
      <c r="F9" s="1" t="s">
        <v>120</v>
      </c>
      <c r="G9" t="s">
        <v>121</v>
      </c>
    </row>
    <row r="10" spans="1:10" x14ac:dyDescent="0.3">
      <c r="A10" s="1" t="s">
        <v>124</v>
      </c>
      <c r="B10" s="1" t="s">
        <v>125</v>
      </c>
      <c r="C10">
        <v>4526</v>
      </c>
      <c r="D10" s="1" t="s">
        <v>123</v>
      </c>
      <c r="E10" s="1" t="s">
        <v>126</v>
      </c>
      <c r="F10" s="1" t="s">
        <v>127</v>
      </c>
      <c r="G10" t="s">
        <v>128</v>
      </c>
    </row>
    <row r="11" spans="1:10" x14ac:dyDescent="0.3">
      <c r="J11" t="s">
        <v>129</v>
      </c>
    </row>
    <row r="12" spans="1:10" x14ac:dyDescent="0.3">
      <c r="J12" t="s">
        <v>131</v>
      </c>
    </row>
    <row r="13" spans="1:10" x14ac:dyDescent="0.3">
      <c r="J13" t="s">
        <v>130</v>
      </c>
    </row>
    <row r="14" spans="1:10" x14ac:dyDescent="0.3">
      <c r="J14" t="s">
        <v>132</v>
      </c>
    </row>
    <row r="15" spans="1:10" x14ac:dyDescent="0.3">
      <c r="J15" t="s">
        <v>133</v>
      </c>
    </row>
    <row r="16" spans="1:10" x14ac:dyDescent="0.3">
      <c r="J16" t="s">
        <v>134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B262BF-015A-4821-8B8C-0D823A867E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Data_Analytics_Excel_Practice_D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2026-07-20T15:22:00Z</dcterms:created>
  <dcterms:modified xsi:type="dcterms:W3CDTF">2026-07-20T17:03:14Z</dcterms:modified>
</cp:coreProperties>
</file>