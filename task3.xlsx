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281" documentId="11_F25DC773A252ABDACC104884B999792C5ADE58EA" xr6:coauthVersionLast="47" xr6:coauthVersionMax="47" xr10:uidLastSave="{60926EFD-3CE4-4FD3-A974-64A6502A82C8}"/>
  <bookViews>
    <workbookView xWindow="-108" yWindow="-108" windowWidth="23256" windowHeight="12456" activeTab="4" xr2:uid="{00000000-000D-0000-FFFF-FFFF00000000}"/>
  </bookViews>
  <sheets>
    <sheet name="discriptive statistics" sheetId="1" r:id="rId1"/>
    <sheet name="DATE AND TIME FUNCTION" sheetId="3" r:id="rId2"/>
    <sheet name="lookup" sheetId="4" r:id="rId3"/>
    <sheet name="PIVOT TABLE AND CHART" sheetId="5" r:id="rId4"/>
    <sheet name="CHARTS" sheetId="6" r:id="rId5"/>
  </sheets>
  <calcPr calcId="191029"/>
  <pivotCaches>
    <pivotCache cacheId="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I3" i="3"/>
  <c r="H13" i="4" l="1"/>
  <c r="H14" i="4"/>
  <c r="H12" i="4"/>
  <c r="F12" i="4"/>
  <c r="F13" i="4"/>
  <c r="F11" i="4"/>
  <c r="C11" i="4"/>
  <c r="C12" i="4"/>
  <c r="C10" i="4"/>
  <c r="J3" i="3"/>
  <c r="H4" i="3"/>
  <c r="H5" i="3"/>
  <c r="H3" i="3"/>
  <c r="G4" i="3"/>
  <c r="G5" i="3"/>
  <c r="G3" i="3"/>
  <c r="F4" i="3"/>
  <c r="F5" i="3"/>
  <c r="F3" i="3"/>
  <c r="E3" i="3"/>
</calcChain>
</file>

<file path=xl/sharedStrings.xml><?xml version="1.0" encoding="utf-8"?>
<sst xmlns="http://schemas.openxmlformats.org/spreadsheetml/2006/main" count="121" uniqueCount="92">
  <si>
    <t>studnets</t>
  </si>
  <si>
    <t>marks</t>
  </si>
  <si>
    <t>A</t>
  </si>
  <si>
    <t>B</t>
  </si>
  <si>
    <t>C</t>
  </si>
  <si>
    <t>D</t>
  </si>
  <si>
    <t>E</t>
  </si>
  <si>
    <t>F</t>
  </si>
  <si>
    <t>G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</si>
  <si>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</si>
  <si>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</si>
  <si>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</si>
  <si>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</si>
  <si>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</si>
  <si>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</si>
  <si>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</si>
  <si>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</si>
  <si>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</si>
  <si>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</si>
  <si>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</si>
  <si>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</si>
  <si>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</si>
  <si>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</si>
  <si>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Q1- MEAN MARKS</t>
  </si>
  <si>
    <t>A1-75</t>
  </si>
  <si>
    <t>Q2- MEDIAN</t>
  </si>
  <si>
    <t>A2-75</t>
  </si>
  <si>
    <t>Q3-STANDARD DEVIATION</t>
  </si>
  <si>
    <t>A3- 10.801</t>
  </si>
  <si>
    <t>Q4- MINIMUM</t>
  </si>
  <si>
    <t>A4- 60</t>
  </si>
  <si>
    <t>Q5- MAXIMUM</t>
  </si>
  <si>
    <t>A5-90</t>
  </si>
  <si>
    <t>A6- The marks are fairly consistent with a moderate spread.</t>
  </si>
  <si>
    <t>Q6-Interpret whether the marks are consistent or widely spread.</t>
  </si>
  <si>
    <t>employee</t>
  </si>
  <si>
    <t>joining date</t>
  </si>
  <si>
    <t>resignation date</t>
  </si>
  <si>
    <t>Ravi</t>
  </si>
  <si>
    <t>Anu</t>
  </si>
  <si>
    <t>Rahul</t>
  </si>
  <si>
    <t>Q1- CURRENT DATE</t>
  </si>
  <si>
    <t>JOINING YEAR</t>
  </si>
  <si>
    <t>Q2- JOINING MONTH</t>
  </si>
  <si>
    <t>Q3- DAY OF JOINING</t>
  </si>
  <si>
    <t>Q4-TOTAL YEAR WORKS</t>
  </si>
  <si>
    <t>Q5- Now Vs Today</t>
  </si>
  <si>
    <r>
      <t>TODAY()</t>
    </r>
    <r>
      <rPr>
        <sz val="11"/>
        <color theme="1"/>
        <rFont val="Calibri"/>
        <family val="2"/>
        <scheme val="minor"/>
      </rPr>
      <t xml:space="preserve"> returns only the current system date, while </t>
    </r>
    <r>
      <rPr>
        <sz val="10"/>
        <color theme="1"/>
        <rFont val="Arial Unicode MS"/>
      </rPr>
      <t>NOW()</t>
    </r>
    <r>
      <rPr>
        <sz val="11"/>
        <color theme="1"/>
        <rFont val="Calibri"/>
        <family val="2"/>
        <scheme val="minor"/>
      </rPr>
      <t xml:space="preserve"> returns both the current system date and the current time.</t>
    </r>
  </si>
  <si>
    <t>student details</t>
  </si>
  <si>
    <t>id</t>
  </si>
  <si>
    <t>name</t>
  </si>
  <si>
    <t>department</t>
  </si>
  <si>
    <t>Arun</t>
  </si>
  <si>
    <t>Meena</t>
  </si>
  <si>
    <t>Sanjay</t>
  </si>
  <si>
    <t>IT</t>
  </si>
  <si>
    <t>HR</t>
  </si>
  <si>
    <t>Finance</t>
  </si>
  <si>
    <t>department bonus</t>
  </si>
  <si>
    <t>bonus</t>
  </si>
  <si>
    <t>Q1-</t>
  </si>
  <si>
    <t>Q2-XLOOKUP</t>
  </si>
  <si>
    <t>ID</t>
  </si>
  <si>
    <t>DEPARTMENT</t>
  </si>
  <si>
    <t>Q3-INDEX+MATCH</t>
  </si>
  <si>
    <t>Q4-VLOOKUP searches for a value vertically in the first column of a table and returns a value from the same row, whereas HLOOKUP searches for a value horizontally in the first row of a table and returns a value from the same column.</t>
  </si>
  <si>
    <t>Q5-XLOOKUP is more flexible than VLOOKUP because it can look up values in any direction, handle errors automatically, and is not affected by changes in the table structure.</t>
  </si>
  <si>
    <t>DATE</t>
  </si>
  <si>
    <t>REGION</t>
  </si>
  <si>
    <t>PRODUCT</t>
  </si>
  <si>
    <t>SALES</t>
  </si>
  <si>
    <t>NORTH</t>
  </si>
  <si>
    <t>SOUTH</t>
  </si>
  <si>
    <t>EAST</t>
  </si>
  <si>
    <t>Grand Total</t>
  </si>
  <si>
    <t>Sum of SALES</t>
  </si>
  <si>
    <t>Region</t>
  </si>
  <si>
    <t>Product</t>
  </si>
  <si>
    <t>Q2-</t>
  </si>
  <si>
    <t>Q3-</t>
  </si>
  <si>
    <t>Q4- NORTH</t>
  </si>
  <si>
    <t>Q5-Explain advantage of PivotTables.</t>
  </si>
  <si>
    <t>A5-PivotTables are used to quickly summarize and analyze large datasets. They help create interactive reports, compare data, and generate insights without using complex formulas.</t>
  </si>
  <si>
    <t>MONTH</t>
  </si>
  <si>
    <t>JAN</t>
  </si>
  <si>
    <t>FEB</t>
  </si>
  <si>
    <t>MAR</t>
  </si>
  <si>
    <t>APR</t>
  </si>
  <si>
    <t>MAY</t>
  </si>
  <si>
    <t>Q4-</t>
  </si>
  <si>
    <r>
      <t xml:space="preserve">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is the best chart to show a </t>
    </r>
    <r>
      <rPr>
        <b/>
        <sz val="11"/>
        <color theme="1"/>
        <rFont val="Calibri"/>
        <family val="2"/>
        <scheme val="minor"/>
      </rPr>
      <t>growth trend</t>
    </r>
    <r>
      <rPr>
        <sz val="11"/>
        <color theme="1"/>
        <rFont val="Calibri"/>
        <family val="2"/>
        <scheme val="minor"/>
      </rPr>
      <t xml:space="preserve"> because it clearly displays changes in values over time and makes it easy to identify increasing, decreasing, or stable trends.</t>
    </r>
  </si>
  <si>
    <t>Q5- Which chart is best to show growth trend? Why?"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</si>
</sst>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Continuous"/>
    </xf>
    <xf numFmtId="14" fontId="0" fillId="0" borderId="0" xfId="0" applyNumberFormat="1"/>
    <xf numFmtId="22" fontId="0" fillId="0" borderId="0" xfId="0" applyNumberFormat="1"/>
    <xf numFmtId="0" fontId="3" fillId="0" borderId="0" xfId="0" applyFont="1"/>
    <xf numFmtId="0" fontId="1" fillId="0" borderId="0" xfId="0" applyFont="1"/>
    <xf numFmtId="16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[task3.xlsx]PIVOT TABLE AND CHART!PivotTable11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CHART'!$G$4:$G$7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'PIVOT TABLE AND CHART'!$H$4:$H$7</c:f>
              <c:numCache>
                <c:formatCode>General</c:formatCode>
                <c:ptCount val="3"/>
                <c:pt idx="0">
                  <c:v>1800</c:v>
                </c:pt>
                <c:pt idx="1">
                  <c:v>3000</c:v>
                </c:pt>
                <c:pt idx="2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8-45C3-8B74-7DBBCAC87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799055"/>
        <c:axId val="130845360"/>
      </c:barChart>
      <c:catAx>
        <c:axId val="76479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5360"/>
        <c:crosses val="autoZero"/>
        <c:auto val="1"/>
        <c:lblAlgn val="ctr"/>
        <c:lblOffset val="100"/>
        <c:noMultiLvlLbl val="0"/>
      </c:catAx>
      <c:valAx>
        <c:axId val="1308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9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CHARTS!$A$1</c:f>
              <c:strCache>
                <c:ptCount val="1"/>
                <c:pt idx="0">
                  <c:v>MONTH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CHARTS!$A$2:$A$7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1-4487-82A6-622AEAA97E14}"/>
            </c:ext>
          </c:extLst>
        </c:ser>
        <c:ser>
          <c:idx val="1"/>
          <c:order val="1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CHARTS!$B$2:$B$7</c:f>
              <c:numCache>
                <c:formatCode>General</c:formatCode>
                <c:ptCount val="6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1-4487-82A6-622AEAA97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5922576"/>
        <c:axId val="814944175"/>
      </c:barChart>
      <c:catAx>
        <c:axId val="21592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44175"/>
        <c:crosses val="autoZero"/>
        <c:auto val="1"/>
        <c:lblAlgn val="ctr"/>
        <c:lblOffset val="100"/>
        <c:noMultiLvlLbl val="0"/>
      </c:catAx>
      <c:valAx>
        <c:axId val="81494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2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0-4B98-9AF7-34089798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896304"/>
        <c:axId val="130833360"/>
      </c:lineChart>
      <c:catAx>
        <c:axId val="2528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3360"/>
        <c:crosses val="autoZero"/>
        <c:auto val="1"/>
        <c:lblAlgn val="ctr"/>
        <c:lblOffset val="100"/>
        <c:noMultiLvlLbl val="0"/>
      </c:catAx>
      <c:valAx>
        <c:axId val="1308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9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4-49AE-BED4-3CBCC4E48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0-4FC7-A8CE-CE1ACA482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769168"/>
        <c:axId val="130878480"/>
      </c:barChart>
      <c:catAx>
        <c:axId val="25276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8480"/>
        <c:crosses val="autoZero"/>
        <c:auto val="1"/>
        <c:lblAlgn val="ctr"/>
        <c:lblOffset val="100"/>
        <c:noMultiLvlLbl val="0"/>
      </c:catAx>
      <c:valAx>
        <c:axId val="13087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76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399142</xdr:colOff>
      <xdr:row>10</xdr:row>
      <xdr:rowOff>34471</xdr:rowOff>
    </xdr:from>
    <xdr:to>
      <xdr:col>8</xdr:col>
      <xdr:colOff>39310</xdr:colOff>
      <xdr:row>19</xdr:row>
      <xdr:rowOff>151190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710C8-3F01-8D5C-D30E-258153444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6194</xdr:colOff>
      <xdr:row>4</xdr:row>
      <xdr:rowOff>25400</xdr:rowOff>
    </xdr:from>
    <xdr:to>
      <xdr:col>8</xdr:col>
      <xdr:colOff>362413</xdr:colOff>
      <xdr:row>13</xdr:row>
      <xdr:rowOff>92927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1D8AF-7D01-05E8-745B-3BF768AF5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136292</xdr:colOff>
      <xdr:row>4</xdr:row>
      <xdr:rowOff>13009</xdr:rowOff>
    </xdr:from>
    <xdr:to>
      <xdr:col>14</xdr:col>
      <xdr:colOff>145585</xdr:colOff>
      <xdr:row>14</xdr:row>
      <xdr:rowOff>173464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B56AEB-0183-A149-83E2-B5872B5D1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18585</xdr:colOff>
      <xdr:row>4</xdr:row>
      <xdr:rowOff>124521</xdr:rowOff>
    </xdr:from>
    <xdr:to>
      <xdr:col>20</xdr:col>
      <xdr:colOff>288072</xdr:colOff>
      <xdr:row>15</xdr:row>
      <xdr:rowOff>18585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6D4D93-7E19-515C-77E3-A71C3274C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588537</xdr:colOff>
      <xdr:row>17</xdr:row>
      <xdr:rowOff>130717</xdr:rowOff>
    </xdr:from>
    <xdr:to>
      <xdr:col>8</xdr:col>
      <xdr:colOff>411975</xdr:colOff>
      <xdr:row>28</xdr:row>
      <xdr:rowOff>6195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77B781-6181-8DBB-E1F8-A20C25394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 M" refreshedDate="46233.79730578704" createdVersion="8" refreshedVersion="8" minRefreshableVersion="3" recordCount="5" xr:uid="{1911DF6A-FC80-442C-ABE7-2E4884AD686A}">
  <cacheSource type="worksheet">
    <worksheetSource ref="A1:D6" sheet="PIVOT TABLE AND CHART"/>
  </cacheSource>
  <cacheFields count="4">
    <cacheField name="DATE" numFmtId="16">
      <sharedItems containsSemiMixedTypes="0" containsNonDate="0" containsDate="1" containsString="0" minDate="2026-01-01T00:00:00" maxDate="2026-01-06T00:00:00"/>
    </cacheField>
    <cacheField name="REGION" numFmtId="0">
      <sharedItems count="3">
        <s v="NORTH"/>
        <s v="SOUTH"/>
        <s v="EAST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1000" maxValue="2000" count="5">
        <n v="1000"/>
        <n v="1500"/>
        <n v="2000"/>
        <n v="1800"/>
        <n v="1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1-01T00:00:00"/>
    <x v="0"/>
    <x v="0"/>
    <x v="0"/>
  </r>
  <r>
    <d v="2026-01-02T00:00:00"/>
    <x v="1"/>
    <x v="1"/>
    <x v="1"/>
  </r>
  <r>
    <d v="2026-01-03T00:00:00"/>
    <x v="0"/>
    <x v="0"/>
    <x v="2"/>
  </r>
  <r>
    <d v="2026-01-04T00:00:00"/>
    <x v="2"/>
    <x v="2"/>
    <x v="3"/>
  </r>
  <r>
    <d v="2026-01-05T00:00:00"/>
    <x v="1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713B8-AA07-45C4-BA6A-F3A9F14079B0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K3:L7" firstHeaderRow="1" firstDataRow="1" firstDataCol="1"/>
  <pivotFields count="4">
    <pivotField numFmtId="16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6">
        <item x="0"/>
        <item x="4"/>
        <item x="1"/>
        <item x="3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FC39A-944E-4576-B065-336FF726A904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G3:H7" firstHeaderRow="1" firstDataRow="1" firstDataCol="1"/>
  <pivotFields count="4">
    <pivotField numFmtId="16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>
      <items count="6">
        <item x="0"/>
        <item x="4"/>
        <item x="1"/>
        <item x="3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zoomScale="91" workbookViewId="0">
      <selection activeCell="I7" sqref="I7"/>
    </sheetView>
  </sheetViews>
  <sheetFormatPr defaultRowHeight="14.4"/>
  <cols>
    <col min="5" max="5" width="16.77734375" bestFit="1" customWidth="1"/>
    <col min="6" max="6" width="12" bestFit="1" customWidth="1"/>
    <col min="9" max="9" width="56.33203125" bestFit="1" customWidth="1"/>
    <col min="10" max="10" width="11.33203125" bestFit="1" customWidth="1"/>
    <col min="11" max="11" width="23" bestFit="1" customWidth="1"/>
    <col min="12" max="12" width="13.33203125" bestFit="1" customWidth="1"/>
    <col min="13" max="13" width="13.5546875" bestFit="1" customWidth="1"/>
  </cols>
  <sheetData>
    <row r="1" spans="1:13">
      <c r="A1" t="s">
        <v>0</v>
      </c>
      <c r="B1" t="s">
        <v>1</v>
      </c>
      <c r="E1" s="2" t="s">
        <v>9</v>
      </c>
      <c r="F1" s="2"/>
    </row>
    <row r="2" spans="1:13">
      <c r="A2" t="s">
        <v>2</v>
      </c>
      <c r="B2">
        <v>65</v>
      </c>
      <c r="I2" t="s">
        <v>23</v>
      </c>
      <c r="J2" t="s">
        <v>25</v>
      </c>
      <c r="K2" t="s">
        <v>27</v>
      </c>
      <c r="L2" t="s">
        <v>29</v>
      </c>
      <c r="M2" t="s">
        <v>31</v>
      </c>
    </row>
    <row r="3" spans="1:13">
      <c r="A3" t="s">
        <v>3</v>
      </c>
      <c r="B3">
        <v>70</v>
      </c>
      <c r="E3" t="s">
        <v>10</v>
      </c>
      <c r="F3">
        <v>75</v>
      </c>
      <c r="I3" t="s">
        <v>24</v>
      </c>
      <c r="J3" t="s">
        <v>26</v>
      </c>
      <c r="K3" t="s">
        <v>28</v>
      </c>
      <c r="L3" t="s">
        <v>30</v>
      </c>
      <c r="M3" t="s">
        <v>32</v>
      </c>
    </row>
    <row r="4" spans="1:13">
      <c r="A4" t="s">
        <v>4</v>
      </c>
      <c r="B4">
        <v>75</v>
      </c>
      <c r="E4" t="s">
        <v>11</v>
      </c>
      <c r="F4">
        <v>4.0824829046386295</v>
      </c>
    </row>
    <row r="5" spans="1:13">
      <c r="A5" t="s">
        <v>5</v>
      </c>
      <c r="B5">
        <v>80</v>
      </c>
      <c r="E5" t="s">
        <v>12</v>
      </c>
      <c r="F5">
        <v>75</v>
      </c>
    </row>
    <row r="6" spans="1:13">
      <c r="A6" t="s">
        <v>6</v>
      </c>
      <c r="B6">
        <v>90</v>
      </c>
      <c r="E6" t="s">
        <v>13</v>
      </c>
      <c r="F6" t="e">
        <v>#N/A</v>
      </c>
      <c r="I6" t="s">
        <v>34</v>
      </c>
    </row>
    <row r="7" spans="1:13">
      <c r="A7" t="s">
        <v>7</v>
      </c>
      <c r="B7">
        <v>85</v>
      </c>
      <c r="E7" t="s">
        <v>14</v>
      </c>
      <c r="F7">
        <v>10.801234497346433</v>
      </c>
      <c r="I7" t="s">
        <v>33</v>
      </c>
    </row>
    <row r="8" spans="1:13">
      <c r="A8" t="s">
        <v>8</v>
      </c>
      <c r="B8">
        <v>60</v>
      </c>
      <c r="E8" t="s">
        <v>15</v>
      </c>
      <c r="F8">
        <v>116.66666666666667</v>
      </c>
    </row>
    <row r="9" spans="1:13">
      <c r="E9" t="s">
        <v>16</v>
      </c>
      <c r="F9">
        <v>-1.2000000000000011</v>
      </c>
    </row>
    <row r="10" spans="1:13">
      <c r="E10" t="s">
        <v>17</v>
      </c>
      <c r="F10">
        <v>0</v>
      </c>
    </row>
    <row r="11" spans="1:13">
      <c r="E11" t="s">
        <v>18</v>
      </c>
      <c r="F11">
        <v>30</v>
      </c>
    </row>
    <row r="12" spans="1:13">
      <c r="E12" t="s">
        <v>19</v>
      </c>
      <c r="F12">
        <v>60</v>
      </c>
    </row>
    <row r="13" spans="1:13">
      <c r="E13" t="s">
        <v>20</v>
      </c>
      <c r="F13">
        <v>90</v>
      </c>
    </row>
    <row r="14" spans="1:13">
      <c r="E14" t="s">
        <v>21</v>
      </c>
      <c r="F14">
        <v>525</v>
      </c>
    </row>
    <row r="15" spans="1:13" ht="15" thickBot="1">
      <c r="E15" s="1" t="s">
        <v>22</v>
      </c>
      <c r="F15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8215-9A66-49B0-B2FA-A722A8838C15}">
  <dimension ref="A1:J5"/>
  <sheetViews>
    <sheetView zoomScale="104" workbookViewId="0">
      <selection activeCell="H13" sqref="H13"/>
    </sheetView>
  </sheetViews>
  <sheetFormatPr defaultRowHeight="14.4"/>
  <cols>
    <col min="2" max="2" width="10.77734375" bestFit="1" customWidth="1"/>
    <col min="3" max="3" width="14.21875" bestFit="1" customWidth="1"/>
    <col min="5" max="5" width="17.44140625" bestFit="1" customWidth="1"/>
    <col min="6" max="6" width="18.6640625" bestFit="1" customWidth="1"/>
    <col min="7" max="7" width="12.6640625" bestFit="1" customWidth="1"/>
    <col min="8" max="8" width="18.109375" bestFit="1" customWidth="1"/>
    <col min="9" max="9" width="20.77734375" bestFit="1" customWidth="1"/>
    <col min="10" max="10" width="107.33203125" bestFit="1" customWidth="1"/>
  </cols>
  <sheetData>
    <row r="1" spans="1:10">
      <c r="A1" t="s">
        <v>35</v>
      </c>
      <c r="B1" t="s">
        <v>36</v>
      </c>
      <c r="C1" t="s">
        <v>37</v>
      </c>
    </row>
    <row r="2" spans="1:10">
      <c r="A2" t="s">
        <v>38</v>
      </c>
      <c r="B2" s="3">
        <v>43831</v>
      </c>
      <c r="C2" s="3">
        <v>45000</v>
      </c>
      <c r="E2" t="s">
        <v>41</v>
      </c>
      <c r="F2" t="s">
        <v>43</v>
      </c>
      <c r="G2" t="s">
        <v>42</v>
      </c>
      <c r="H2" t="s">
        <v>44</v>
      </c>
      <c r="I2" t="s">
        <v>45</v>
      </c>
      <c r="J2" t="s">
        <v>46</v>
      </c>
    </row>
    <row r="3" spans="1:10">
      <c r="A3" t="s">
        <v>39</v>
      </c>
      <c r="B3" s="3">
        <v>43595</v>
      </c>
      <c r="C3" s="3">
        <v>44691</v>
      </c>
      <c r="E3" s="3">
        <f ca="1">TODAY()</f>
        <v>46233</v>
      </c>
      <c r="F3">
        <f>MONTH(B2)</f>
        <v>1</v>
      </c>
      <c r="G3">
        <f>YEAR(B2)</f>
        <v>2020</v>
      </c>
      <c r="H3">
        <f>WEEKDAY(B2)</f>
        <v>4</v>
      </c>
      <c r="I3">
        <f>DATEDIF(B2,C2,"Y")</f>
        <v>3</v>
      </c>
      <c r="J3" s="4">
        <f ca="1">NOW()</f>
        <v>46233.8260912037</v>
      </c>
    </row>
    <row r="4" spans="1:10">
      <c r="A4" t="s">
        <v>40</v>
      </c>
      <c r="B4" s="3">
        <v>44423</v>
      </c>
      <c r="F4">
        <f t="shared" ref="F4:F5" si="0">MONTH(B3)</f>
        <v>5</v>
      </c>
      <c r="G4">
        <f t="shared" ref="G4:G5" si="1">YEAR(B3)</f>
        <v>2019</v>
      </c>
      <c r="H4">
        <f t="shared" ref="H4:H5" si="2">WEEKDAY(B3)</f>
        <v>6</v>
      </c>
      <c r="I4">
        <f t="shared" ref="I4:I5" si="3">DATEDIF(B3,C3,"Y")</f>
        <v>3</v>
      </c>
    </row>
    <row r="5" spans="1:10">
      <c r="F5">
        <f t="shared" si="0"/>
        <v>8</v>
      </c>
      <c r="G5">
        <f t="shared" si="1"/>
        <v>2021</v>
      </c>
      <c r="H5">
        <f t="shared" si="2"/>
        <v>1</v>
      </c>
      <c r="J5" s="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D01D-7B8F-43FC-9F00-841311F47276}">
  <dimension ref="A1:K14"/>
  <sheetViews>
    <sheetView zoomScale="86" workbookViewId="0">
      <selection activeCell="C10" sqref="C10"/>
    </sheetView>
  </sheetViews>
  <sheetFormatPr defaultRowHeight="14.4"/>
  <cols>
    <col min="1" max="1" width="14.109375" bestFit="1" customWidth="1"/>
    <col min="2" max="2" width="10.88671875" bestFit="1" customWidth="1"/>
    <col min="4" max="4" width="10.88671875" bestFit="1" customWidth="1"/>
    <col min="5" max="5" width="16.6640625" bestFit="1" customWidth="1"/>
    <col min="6" max="6" width="10.88671875" bestFit="1" customWidth="1"/>
    <col min="8" max="8" width="16.6640625" bestFit="1" customWidth="1"/>
    <col min="11" max="11" width="202.109375" bestFit="1" customWidth="1"/>
  </cols>
  <sheetData>
    <row r="1" spans="1:11">
      <c r="A1" s="6" t="s">
        <v>48</v>
      </c>
      <c r="E1" s="6" t="s">
        <v>58</v>
      </c>
    </row>
    <row r="2" spans="1:11">
      <c r="B2" t="s">
        <v>49</v>
      </c>
      <c r="C2" t="s">
        <v>50</v>
      </c>
      <c r="D2" t="s">
        <v>51</v>
      </c>
      <c r="F2" t="s">
        <v>51</v>
      </c>
      <c r="G2" t="s">
        <v>59</v>
      </c>
    </row>
    <row r="3" spans="1:11">
      <c r="B3">
        <v>101</v>
      </c>
      <c r="C3" t="s">
        <v>52</v>
      </c>
      <c r="D3" t="s">
        <v>55</v>
      </c>
      <c r="F3" t="s">
        <v>55</v>
      </c>
      <c r="G3">
        <v>5000</v>
      </c>
    </row>
    <row r="4" spans="1:11">
      <c r="B4">
        <v>102</v>
      </c>
      <c r="C4" t="s">
        <v>53</v>
      </c>
      <c r="D4" t="s">
        <v>56</v>
      </c>
      <c r="F4" t="s">
        <v>56</v>
      </c>
      <c r="G4">
        <v>3000</v>
      </c>
    </row>
    <row r="5" spans="1:11">
      <c r="B5">
        <v>103</v>
      </c>
      <c r="C5" t="s">
        <v>54</v>
      </c>
      <c r="D5" t="s">
        <v>57</v>
      </c>
      <c r="F5" t="s">
        <v>57</v>
      </c>
      <c r="G5">
        <v>4000</v>
      </c>
    </row>
    <row r="9" spans="1:11">
      <c r="A9" t="s">
        <v>60</v>
      </c>
      <c r="B9" t="s">
        <v>51</v>
      </c>
      <c r="C9" t="s">
        <v>59</v>
      </c>
      <c r="E9" t="s">
        <v>61</v>
      </c>
      <c r="H9" t="s">
        <v>64</v>
      </c>
      <c r="K9" t="s">
        <v>65</v>
      </c>
    </row>
    <row r="10" spans="1:11">
      <c r="B10" t="s">
        <v>55</v>
      </c>
      <c r="C10">
        <f>VLOOKUP(F3,F2:G5,2,FALSE)</f>
        <v>5000</v>
      </c>
      <c r="E10" t="s">
        <v>62</v>
      </c>
      <c r="F10" t="s">
        <v>63</v>
      </c>
      <c r="K10" t="s">
        <v>66</v>
      </c>
    </row>
    <row r="11" spans="1:11">
      <c r="B11" t="s">
        <v>56</v>
      </c>
      <c r="C11">
        <f t="shared" ref="C11:C12" si="0">VLOOKUP(F4,F3:G6,2,FALSE)</f>
        <v>3000</v>
      </c>
      <c r="E11">
        <v>101</v>
      </c>
      <c r="F11" t="str">
        <f>_xlfn.XLOOKUP(B3,B2:B5,D2:D5)</f>
        <v>IT</v>
      </c>
    </row>
    <row r="12" spans="1:11">
      <c r="B12" t="s">
        <v>57</v>
      </c>
      <c r="C12">
        <f t="shared" si="0"/>
        <v>4000</v>
      </c>
      <c r="E12">
        <v>102</v>
      </c>
      <c r="F12" t="str">
        <f t="shared" ref="F12:F13" si="1">_xlfn.XLOOKUP(B4,B3:B6,D3:D6)</f>
        <v>HR</v>
      </c>
      <c r="H12" t="str">
        <f>INDEX(C3:C5,MATCH(B3,B3:B5,0))</f>
        <v>Arun</v>
      </c>
    </row>
    <row r="13" spans="1:11">
      <c r="E13">
        <v>103</v>
      </c>
      <c r="F13" t="str">
        <f t="shared" si="1"/>
        <v>Finance</v>
      </c>
      <c r="H13" t="str">
        <f t="shared" ref="H13:H14" si="2">INDEX(C4:C6,MATCH(B4,B4:B6,0))</f>
        <v>Meena</v>
      </c>
    </row>
    <row r="14" spans="1:11">
      <c r="H14" t="str">
        <f t="shared" si="2"/>
        <v>Sanjay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FECB-84AA-4008-94C5-54AE4D2EAA20}">
  <dimension ref="A1:N11"/>
  <sheetViews>
    <sheetView zoomScale="95" workbookViewId="0">
      <selection activeCell="K14" sqref="K14"/>
    </sheetView>
  </sheetViews>
  <sheetFormatPr defaultRowHeight="14.4"/>
  <cols>
    <col min="7" max="8" width="12.5546875" bestFit="1" customWidth="1"/>
    <col min="9" max="10" width="5" bestFit="1" customWidth="1"/>
    <col min="11" max="12" width="12.5546875" bestFit="1" customWidth="1"/>
    <col min="13" max="13" width="5" bestFit="1" customWidth="1"/>
    <col min="14" max="14" width="31.77734375" bestFit="1" customWidth="1"/>
    <col min="15" max="16" width="10.77734375" bestFit="1" customWidth="1"/>
  </cols>
  <sheetData>
    <row r="1" spans="1:14">
      <c r="A1" t="s">
        <v>67</v>
      </c>
      <c r="B1" t="s">
        <v>68</v>
      </c>
      <c r="C1" t="s">
        <v>69</v>
      </c>
      <c r="D1" s="8" t="s">
        <v>70</v>
      </c>
    </row>
    <row r="2" spans="1:14">
      <c r="A2" s="7">
        <v>46023</v>
      </c>
      <c r="B2" t="s">
        <v>71</v>
      </c>
      <c r="C2" t="s">
        <v>2</v>
      </c>
      <c r="D2">
        <v>1000</v>
      </c>
      <c r="G2" t="s">
        <v>60</v>
      </c>
      <c r="K2" t="s">
        <v>78</v>
      </c>
    </row>
    <row r="3" spans="1:14">
      <c r="A3" s="7">
        <v>46024</v>
      </c>
      <c r="B3" t="s">
        <v>72</v>
      </c>
      <c r="C3" t="s">
        <v>3</v>
      </c>
      <c r="D3">
        <v>1500</v>
      </c>
      <c r="G3" s="9" t="s">
        <v>76</v>
      </c>
      <c r="H3" t="s">
        <v>75</v>
      </c>
      <c r="K3" s="9" t="s">
        <v>77</v>
      </c>
      <c r="L3" t="s">
        <v>75</v>
      </c>
    </row>
    <row r="4" spans="1:14">
      <c r="A4" s="7">
        <v>46025</v>
      </c>
      <c r="B4" t="s">
        <v>71</v>
      </c>
      <c r="C4" t="s">
        <v>2</v>
      </c>
      <c r="D4">
        <v>2000</v>
      </c>
      <c r="G4" s="10" t="s">
        <v>73</v>
      </c>
      <c r="H4" s="11">
        <v>1800</v>
      </c>
      <c r="K4" s="10" t="s">
        <v>2</v>
      </c>
      <c r="L4" s="11">
        <v>4200</v>
      </c>
    </row>
    <row r="5" spans="1:14">
      <c r="A5" s="7">
        <v>46026</v>
      </c>
      <c r="B5" t="s">
        <v>73</v>
      </c>
      <c r="C5" t="s">
        <v>4</v>
      </c>
      <c r="D5">
        <v>1800</v>
      </c>
      <c r="G5" s="10" t="s">
        <v>71</v>
      </c>
      <c r="H5" s="11">
        <v>3000</v>
      </c>
      <c r="K5" s="10" t="s">
        <v>3</v>
      </c>
      <c r="L5" s="11">
        <v>1500</v>
      </c>
    </row>
    <row r="6" spans="1:14">
      <c r="A6" s="7">
        <v>46027</v>
      </c>
      <c r="B6" t="s">
        <v>72</v>
      </c>
      <c r="C6" t="s">
        <v>2</v>
      </c>
      <c r="D6">
        <v>1200</v>
      </c>
      <c r="G6" s="10" t="s">
        <v>72</v>
      </c>
      <c r="H6" s="11">
        <v>2700</v>
      </c>
      <c r="K6" s="10" t="s">
        <v>4</v>
      </c>
      <c r="L6" s="11">
        <v>1800</v>
      </c>
    </row>
    <row r="7" spans="1:14">
      <c r="A7" s="7"/>
      <c r="G7" s="10" t="s">
        <v>74</v>
      </c>
      <c r="H7" s="11">
        <v>7500</v>
      </c>
      <c r="K7" s="10" t="s">
        <v>74</v>
      </c>
      <c r="L7" s="11">
        <v>7500</v>
      </c>
    </row>
    <row r="10" spans="1:14">
      <c r="E10" t="s">
        <v>79</v>
      </c>
      <c r="K10" s="10" t="s">
        <v>80</v>
      </c>
      <c r="N10" t="s">
        <v>81</v>
      </c>
    </row>
    <row r="11" spans="1:14">
      <c r="N11" t="s">
        <v>82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594F-2334-4641-A3EC-369455EACA9A}">
  <dimension ref="A1:P19"/>
  <sheetViews>
    <sheetView tabSelected="1" topLeftCell="A8" zoomScale="123" workbookViewId="0">
      <selection activeCell="G16" sqref="G16"/>
    </sheetView>
  </sheetViews>
  <sheetFormatPr defaultRowHeight="14.4"/>
  <sheetData>
    <row r="1" spans="1:16">
      <c r="A1" t="s">
        <v>83</v>
      </c>
      <c r="B1" t="s">
        <v>70</v>
      </c>
    </row>
    <row r="2" spans="1:16">
      <c r="A2" t="s">
        <v>84</v>
      </c>
      <c r="B2">
        <v>10000</v>
      </c>
    </row>
    <row r="3" spans="1:16">
      <c r="A3" t="s">
        <v>85</v>
      </c>
      <c r="B3">
        <v>12000</v>
      </c>
      <c r="D3" t="s">
        <v>60</v>
      </c>
      <c r="J3" t="s">
        <v>78</v>
      </c>
      <c r="P3" t="s">
        <v>79</v>
      </c>
    </row>
    <row r="4" spans="1:16">
      <c r="A4" t="s">
        <v>86</v>
      </c>
      <c r="B4">
        <v>15000</v>
      </c>
    </row>
    <row r="5" spans="1:16">
      <c r="A5" t="s">
        <v>87</v>
      </c>
      <c r="B5">
        <v>13000</v>
      </c>
    </row>
    <row r="6" spans="1:16">
      <c r="A6" t="s">
        <v>88</v>
      </c>
      <c r="B6">
        <v>17000</v>
      </c>
    </row>
    <row r="17" spans="4:11">
      <c r="D17" t="s">
        <v>89</v>
      </c>
    </row>
    <row r="18" spans="4:11">
      <c r="K18" t="s">
        <v>91</v>
      </c>
    </row>
    <row r="19" spans="4:11">
      <c r="K19" t="s">
        <v>90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discriptive statistics</vt:lpstr>
      <vt:lpstr>DATE AND TIME FUNCTION</vt:lpstr>
      <vt:lpstr>lookup</vt:lpstr>
      <vt:lpstr>PIVOT TABLE AND CHART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2015-06-05T18:17:20Z</dcterms:created>
  <dcterms:modified xsi:type="dcterms:W3CDTF">2026-07-30T14:20:14Z</dcterms:modified>
</cp:coreProperties>
</file>