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96" documentId="8_{1D1A63E4-B0C6-4C10-875D-5C6A72D9097A}" xr6:coauthVersionLast="47" xr6:coauthVersionMax="47" xr10:uidLastSave="{E1C28D34-8DF6-47D5-B80B-4679C1726460}"/>
  <bookViews>
    <workbookView xWindow="-108" yWindow="-108" windowWidth="23256" windowHeight="12456" activeTab="2" xr2:uid="{5BBC5592-60BF-4245-AEEC-1FFD5616A9C6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L30" i="1"/>
  <c r="B2" i="2" a="1"/>
  <c r="B2" i="2" s="1"/>
  <c r="B5" i="2"/>
  <c r="B6" i="2"/>
  <c r="B7" i="2"/>
  <c r="B8" i="2"/>
  <c r="J31" i="1"/>
  <c r="J30" i="1"/>
  <c r="H32" i="1"/>
  <c r="H31" i="1"/>
  <c r="J22" i="1"/>
  <c r="I22" i="1"/>
  <c r="I20" i="1"/>
  <c r="J21" i="1"/>
  <c r="I21" i="1"/>
  <c r="J20" i="1"/>
  <c r="I13" i="1"/>
  <c r="I12" i="1"/>
  <c r="M1" i="1"/>
  <c r="K3" i="1"/>
  <c r="K2" i="1"/>
  <c r="J3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<sst xmlns="http://schemas.openxmlformats.org/spreadsheetml/2006/main" count="141" uniqueCount="53">
  <si>
    <t>product id</t>
  </si>
  <si>
    <t>product</t>
  </si>
  <si>
    <t>supplier</t>
  </si>
  <si>
    <t>price</t>
  </si>
  <si>
    <t>stock</t>
  </si>
  <si>
    <t>warehouse</t>
  </si>
  <si>
    <t>P101</t>
  </si>
  <si>
    <t>P102</t>
  </si>
  <si>
    <t>P103</t>
  </si>
  <si>
    <t>P104</t>
  </si>
  <si>
    <t>P105</t>
  </si>
  <si>
    <t>P106</t>
  </si>
  <si>
    <t>LAPTOP</t>
  </si>
  <si>
    <t>MOUSE</t>
  </si>
  <si>
    <t>KEYBOARD</t>
  </si>
  <si>
    <t>MONITOR</t>
  </si>
  <si>
    <t>PRINTER</t>
  </si>
  <si>
    <t>WEBCAM</t>
  </si>
  <si>
    <t>DELL</t>
  </si>
  <si>
    <t>LOGITECH</t>
  </si>
  <si>
    <t>SAMSUNG</t>
  </si>
  <si>
    <t>HP</t>
  </si>
  <si>
    <t>A</t>
  </si>
  <si>
    <t>B</t>
  </si>
  <si>
    <t>C</t>
  </si>
  <si>
    <t>PRODUCTID</t>
  </si>
  <si>
    <t>PRICE</t>
  </si>
  <si>
    <t>STOCK</t>
  </si>
  <si>
    <t>VLOOKUP</t>
  </si>
  <si>
    <t>PRODUCT</t>
  </si>
  <si>
    <t>WRBCAM</t>
  </si>
  <si>
    <t>WAREHOUSE</t>
  </si>
  <si>
    <t>PRODUCT ID</t>
  </si>
  <si>
    <t>HLOOKUP</t>
  </si>
  <si>
    <t>XLOOKUP</t>
  </si>
  <si>
    <t>ROLL NO</t>
  </si>
  <si>
    <t>NAME</t>
  </si>
  <si>
    <t>SUBJECT</t>
  </si>
  <si>
    <t>MARKS</t>
  </si>
  <si>
    <t>ANITA</t>
  </si>
  <si>
    <t>RAHUL</t>
  </si>
  <si>
    <t>MAYA</t>
  </si>
  <si>
    <t>JOHN</t>
  </si>
  <si>
    <t>MATH</t>
  </si>
  <si>
    <t>SCIENCE</t>
  </si>
  <si>
    <t>ENGLISH</t>
  </si>
  <si>
    <t>P107</t>
  </si>
  <si>
    <t>MATCH</t>
  </si>
  <si>
    <t>LIMITATION-ONLY LEFT TO RIGH</t>
  </si>
  <si>
    <t>INDEX</t>
  </si>
  <si>
    <t>MATCH+INDEX</t>
  </si>
  <si>
    <t>LIMITATIONS-ONLY TOP TO BOTTOM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</si>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</sst>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34942-2A52-48C3-8C65-FA90C34764D3}" name="Table1" displayName="Table1" ref="A19:F25" totalsRowShown="0">
  <autoFilter ref="A19:F25" xr:uid="{BE634942-2A52-48C3-8C65-FA90C34764D3}"/>
  <tableColumns count="6">
    <tableColumn id="1" xr3:uid="{4C84E3F6-0DA5-4770-B211-6D378F5BB073}" name="product id"/>
    <tableColumn id="2" xr3:uid="{23D820F8-728D-4934-8C4C-13F0760B5C91}" name="product"/>
    <tableColumn id="3" xr3:uid="{81A5EF4B-9238-4326-AF30-C20A6ED497A6}" name="supplier"/>
    <tableColumn id="4" xr3:uid="{C1AF78F9-B31C-4B92-B778-DBB884679295}" name="price"/>
    <tableColumn id="5" xr3:uid="{D9AC63BE-0528-430A-B093-ED2FC71BC05C}" name="stock"/>
    <tableColumn id="6" xr3:uid="{2E53879F-F35D-4947-8BC9-F31401C1FDF2}" name="wareho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8DA63A-38AB-4B38-A126-8E88CA3D9696}" name="Table4" displayName="Table4" ref="A29:D33" totalsRowShown="0">
  <autoFilter ref="A29:D33" xr:uid="{828DA63A-38AB-4B38-A126-8E88CA3D9696}"/>
  <tableColumns count="4">
    <tableColumn id="1" xr3:uid="{AFC94DBF-9B96-4C04-86D4-832C844DE708}" name="ROLL NO"/>
    <tableColumn id="2" xr3:uid="{D97B1744-21F2-45BB-AC87-7935A53E87AA}" name="NAME"/>
    <tableColumn id="3" xr3:uid="{9CDE9029-2C80-421E-B56C-A30CF4880225}" name="SUBJECT"/>
    <tableColumn id="4" xr3:uid="{042FB1A4-F11F-4D7F-BB6A-601824D05BDC}" name="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9D47A9-916C-42D3-A1F7-F4D2027ED71A}" name="Table136" displayName="Table136" ref="A1:F7" totalsRowShown="0">
  <autoFilter ref="A1:F7" xr:uid="{769D47A9-916C-42D3-A1F7-F4D2027ED71A}"/>
  <tableColumns count="6">
    <tableColumn id="1" xr3:uid="{D4E83EFE-F118-4A6D-B224-A399773FE741}" name="product id"/>
    <tableColumn id="2" xr3:uid="{41AE0886-2172-462D-95F7-366FF22232F3}" name="product"/>
    <tableColumn id="3" xr3:uid="{C9281EC3-FBFC-4DD0-B62C-BE11739F6232}" name="supplier"/>
    <tableColumn id="4" xr3:uid="{158BD239-1A57-45EA-9C9C-3CF91BB274D7}" name="price"/>
    <tableColumn id="5" xr3:uid="{90C1107F-E711-4EED-AF0F-BF4C724B20AB}" name="stock"/>
    <tableColumn id="6" xr3:uid="{C55EC378-E92F-4B7A-BAB2-AD47D52D814C}" name="warehou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6A29-60B0-4A28-88F2-F03AD62C82DC}">
  <sheetPr codeName="Sheet1"/>
  <dimension ref="A1:N33"/>
  <sheetViews>
    <sheetView topLeftCell="A11" workbookViewId="0">
      <selection activeCell="F16" sqref="F16"/>
    </sheetView>
  </sheetViews>
  <sheetFormatPr defaultRowHeight="14.4" x14ac:dyDescent="0.3"/>
  <cols>
    <col min="1" max="1" width="13.33203125" customWidth="1"/>
    <col min="2" max="2" width="9.88671875" bestFit="1" customWidth="1"/>
    <col min="3" max="3" width="10.109375" customWidth="1"/>
    <col min="4" max="4" width="9.109375" customWidth="1"/>
    <col min="6" max="6" width="12.109375" customWidth="1"/>
    <col min="8" max="8" width="10.88671875" bestFit="1" customWidth="1"/>
    <col min="9" max="9" width="20" bestFit="1" customWidth="1"/>
    <col min="10" max="10" width="11.77734375" bestFit="1" customWidth="1"/>
    <col min="12" max="12" width="11.77734375" bestFit="1" customWidth="1"/>
    <col min="14" max="14" width="32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29</v>
      </c>
      <c r="I1" t="s">
        <v>25</v>
      </c>
      <c r="J1" t="s">
        <v>26</v>
      </c>
      <c r="K1" t="s">
        <v>27</v>
      </c>
      <c r="L1" t="s">
        <v>31</v>
      </c>
      <c r="M1">
        <f>VLOOKUP(H2,Table1[[#All],[product]:[warehouse]],3,FALSE)</f>
        <v>12500</v>
      </c>
    </row>
    <row r="2" spans="1:14" x14ac:dyDescent="0.3">
      <c r="A2" t="s">
        <v>6</v>
      </c>
      <c r="B2" t="s">
        <v>12</v>
      </c>
      <c r="C2" t="s">
        <v>18</v>
      </c>
      <c r="D2">
        <v>55000</v>
      </c>
      <c r="E2">
        <v>18</v>
      </c>
      <c r="F2" t="s">
        <v>22</v>
      </c>
      <c r="H2" t="s">
        <v>15</v>
      </c>
      <c r="I2" t="s">
        <v>9</v>
      </c>
      <c r="J2">
        <f>VLOOKUP(I2,Table1[#All],4,FALSE)</f>
        <v>12500</v>
      </c>
      <c r="K2">
        <f>VLOOKUP(I2,Table1[#All],5,FALSE)</f>
        <v>25</v>
      </c>
      <c r="L2" t="s">
        <v>24</v>
      </c>
    </row>
    <row r="3" spans="1:14" x14ac:dyDescent="0.3">
      <c r="A3" t="s">
        <v>7</v>
      </c>
      <c r="B3" t="s">
        <v>13</v>
      </c>
      <c r="C3" t="s">
        <v>19</v>
      </c>
      <c r="D3">
        <v>900</v>
      </c>
      <c r="E3">
        <v>120</v>
      </c>
      <c r="F3" t="s">
        <v>23</v>
      </c>
      <c r="H3" t="s">
        <v>30</v>
      </c>
      <c r="I3" t="s">
        <v>11</v>
      </c>
      <c r="J3">
        <f>VLOOKUP(I3,Table1[#All],4,FALSE)</f>
        <v>2400</v>
      </c>
      <c r="K3">
        <f>VLOOKUP(I3,Table1[#All],5,FALSE)</f>
        <v>45</v>
      </c>
      <c r="L3" t="s">
        <v>24</v>
      </c>
    </row>
    <row r="4" spans="1:14" x14ac:dyDescent="0.3">
      <c r="A4" t="s">
        <v>8</v>
      </c>
      <c r="B4" t="s">
        <v>14</v>
      </c>
      <c r="C4" t="s">
        <v>19</v>
      </c>
      <c r="D4">
        <v>1800</v>
      </c>
      <c r="E4">
        <v>65</v>
      </c>
      <c r="F4" t="s">
        <v>22</v>
      </c>
      <c r="N4" s="1" t="s">
        <v>48</v>
      </c>
    </row>
    <row r="5" spans="1:14" x14ac:dyDescent="0.3">
      <c r="A5" t="s">
        <v>9</v>
      </c>
      <c r="B5" t="s">
        <v>15</v>
      </c>
      <c r="C5" t="s">
        <v>20</v>
      </c>
      <c r="D5">
        <v>12500</v>
      </c>
      <c r="E5">
        <v>25</v>
      </c>
      <c r="F5" t="s">
        <v>24</v>
      </c>
    </row>
    <row r="6" spans="1:14" x14ac:dyDescent="0.3">
      <c r="A6" t="s">
        <v>10</v>
      </c>
      <c r="B6" t="s">
        <v>16</v>
      </c>
      <c r="C6" t="s">
        <v>21</v>
      </c>
      <c r="D6">
        <v>9800</v>
      </c>
      <c r="E6">
        <v>12</v>
      </c>
      <c r="F6" t="s">
        <v>23</v>
      </c>
      <c r="J6" s="1" t="s">
        <v>28</v>
      </c>
    </row>
    <row r="7" spans="1:14" x14ac:dyDescent="0.3">
      <c r="A7" t="s">
        <v>11</v>
      </c>
      <c r="B7" t="s">
        <v>17</v>
      </c>
      <c r="C7" t="s">
        <v>19</v>
      </c>
      <c r="D7">
        <v>2400</v>
      </c>
      <c r="E7">
        <v>45</v>
      </c>
      <c r="F7" t="s">
        <v>24</v>
      </c>
    </row>
    <row r="11" spans="1:14" x14ac:dyDescent="0.3">
      <c r="A11" s="5" t="s">
        <v>32</v>
      </c>
      <c r="B11" s="6" t="s">
        <v>6</v>
      </c>
      <c r="C11" s="6" t="s">
        <v>7</v>
      </c>
      <c r="D11" s="6" t="s">
        <v>8</v>
      </c>
      <c r="E11" s="6" t="s">
        <v>9</v>
      </c>
      <c r="F11" s="7" t="s">
        <v>10</v>
      </c>
      <c r="H11" t="s">
        <v>25</v>
      </c>
      <c r="I11" t="s">
        <v>26</v>
      </c>
    </row>
    <row r="12" spans="1:14" x14ac:dyDescent="0.3">
      <c r="A12" s="2" t="s">
        <v>26</v>
      </c>
      <c r="B12" s="3">
        <v>55000</v>
      </c>
      <c r="C12" s="3">
        <v>900</v>
      </c>
      <c r="D12" s="3">
        <v>1800</v>
      </c>
      <c r="E12" s="3">
        <v>12500</v>
      </c>
      <c r="F12" s="4">
        <v>9800</v>
      </c>
      <c r="H12" t="s">
        <v>8</v>
      </c>
      <c r="I12">
        <f>HLOOKUP(H12,$A$11:$F$12,2,FALSE)</f>
        <v>1800</v>
      </c>
      <c r="N12" s="1" t="s">
        <v>51</v>
      </c>
    </row>
    <row r="13" spans="1:14" x14ac:dyDescent="0.3">
      <c r="H13" t="s">
        <v>10</v>
      </c>
      <c r="I13">
        <f>HLOOKUP(H13,$A$11:$F$12,2,FALSE)</f>
        <v>9800</v>
      </c>
    </row>
    <row r="16" spans="1:14" x14ac:dyDescent="0.3">
      <c r="H16" s="1" t="s">
        <v>33</v>
      </c>
    </row>
    <row r="19" spans="1:12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H19" t="s">
        <v>25</v>
      </c>
      <c r="I19" t="s">
        <v>26</v>
      </c>
      <c r="J19" t="s">
        <v>31</v>
      </c>
    </row>
    <row r="20" spans="1:12" x14ac:dyDescent="0.3">
      <c r="A20" t="s">
        <v>6</v>
      </c>
      <c r="B20" t="s">
        <v>12</v>
      </c>
      <c r="C20" t="s">
        <v>18</v>
      </c>
      <c r="D20">
        <v>55000</v>
      </c>
      <c r="E20">
        <v>18</v>
      </c>
      <c r="F20" t="s">
        <v>22</v>
      </c>
      <c r="H20" t="s">
        <v>9</v>
      </c>
      <c r="I20">
        <f>_xlfn.XLOOKUP(H20,Table1[product id],Table1[price],"PRODUCT NOT FOUND",0)</f>
        <v>12500</v>
      </c>
      <c r="J20" t="str">
        <f>_xlfn.XLOOKUP(H20,Table1[product id],Table1[warehouse])</f>
        <v>C</v>
      </c>
    </row>
    <row r="21" spans="1:12" x14ac:dyDescent="0.3">
      <c r="A21" t="s">
        <v>7</v>
      </c>
      <c r="B21" t="s">
        <v>13</v>
      </c>
      <c r="C21" t="s">
        <v>19</v>
      </c>
      <c r="D21">
        <v>900</v>
      </c>
      <c r="E21">
        <v>120</v>
      </c>
      <c r="F21" t="s">
        <v>23</v>
      </c>
      <c r="H21" t="s">
        <v>11</v>
      </c>
      <c r="I21">
        <f>_xlfn.XLOOKUP(H21,Table1[product id],Table1[price],)</f>
        <v>2400</v>
      </c>
      <c r="J21" t="str">
        <f>_xlfn.XLOOKUP(H21,Table1[product id],Table1[warehouse])</f>
        <v>C</v>
      </c>
    </row>
    <row r="22" spans="1:12" x14ac:dyDescent="0.3">
      <c r="A22" t="s">
        <v>8</v>
      </c>
      <c r="B22" t="s">
        <v>14</v>
      </c>
      <c r="C22" t="s">
        <v>19</v>
      </c>
      <c r="D22">
        <v>1800</v>
      </c>
      <c r="E22">
        <v>65</v>
      </c>
      <c r="F22" t="s">
        <v>22</v>
      </c>
      <c r="H22" t="s">
        <v>46</v>
      </c>
      <c r="I22" t="str">
        <f>_xlfn.XLOOKUP(H22,Table1[product id],Table1[price],"PRODUCT NOT FOUND",0)</f>
        <v>PRODUCT NOT FOUND</v>
      </c>
      <c r="J22" t="str">
        <f>_xlfn.XLOOKUP(H22,Table1[product id],Table1[warehouse],"NOT FOUND",0)</f>
        <v>NOT FOUND</v>
      </c>
    </row>
    <row r="23" spans="1:12" x14ac:dyDescent="0.3">
      <c r="A23" t="s">
        <v>9</v>
      </c>
      <c r="B23" t="s">
        <v>15</v>
      </c>
      <c r="C23" t="s">
        <v>20</v>
      </c>
      <c r="D23">
        <v>12500</v>
      </c>
      <c r="E23">
        <v>25</v>
      </c>
      <c r="F23" t="s">
        <v>24</v>
      </c>
    </row>
    <row r="24" spans="1:12" x14ac:dyDescent="0.3">
      <c r="A24" t="s">
        <v>10</v>
      </c>
      <c r="B24" t="s">
        <v>16</v>
      </c>
      <c r="C24" t="s">
        <v>21</v>
      </c>
      <c r="D24">
        <v>9800</v>
      </c>
      <c r="E24">
        <v>12</v>
      </c>
      <c r="F24" t="s">
        <v>23</v>
      </c>
      <c r="I24" s="1" t="s">
        <v>34</v>
      </c>
    </row>
    <row r="25" spans="1:12" x14ac:dyDescent="0.3">
      <c r="A25" t="s">
        <v>11</v>
      </c>
      <c r="B25" t="s">
        <v>17</v>
      </c>
      <c r="C25" t="s">
        <v>19</v>
      </c>
      <c r="D25">
        <v>2400</v>
      </c>
      <c r="E25">
        <v>45</v>
      </c>
      <c r="F25" t="s">
        <v>24</v>
      </c>
    </row>
    <row r="29" spans="1:12" x14ac:dyDescent="0.3">
      <c r="A29" t="s">
        <v>35</v>
      </c>
      <c r="B29" t="s">
        <v>36</v>
      </c>
      <c r="C29" t="s">
        <v>37</v>
      </c>
      <c r="D29" t="s">
        <v>38</v>
      </c>
      <c r="H29" s="1" t="s">
        <v>47</v>
      </c>
      <c r="J29" s="1" t="s">
        <v>49</v>
      </c>
      <c r="L29" s="1" t="s">
        <v>50</v>
      </c>
    </row>
    <row r="30" spans="1:12" x14ac:dyDescent="0.3">
      <c r="A30">
        <v>101</v>
      </c>
      <c r="B30" t="s">
        <v>39</v>
      </c>
      <c r="C30" t="s">
        <v>43</v>
      </c>
      <c r="D30">
        <v>85</v>
      </c>
      <c r="H30">
        <f>MATCH(Table4[[#This Row],[ROLL NO]],Table4[ROLL NO],0)</f>
        <v>1</v>
      </c>
      <c r="J30">
        <f>INDEX(Table4[MARKS],2)</f>
        <v>75</v>
      </c>
      <c r="L30">
        <f>INDEX(Table4[MARKS],MATCH(A32,Table4[ROLL NO],0))</f>
        <v>90</v>
      </c>
    </row>
    <row r="31" spans="1:12" x14ac:dyDescent="0.3">
      <c r="A31">
        <v>102</v>
      </c>
      <c r="B31" t="s">
        <v>40</v>
      </c>
      <c r="C31" t="s">
        <v>44</v>
      </c>
      <c r="D31">
        <v>75</v>
      </c>
      <c r="H31">
        <f>MATCH(Table4[[#This Row],[ROLL NO]],Table4[ROLL NO],0)</f>
        <v>2</v>
      </c>
      <c r="J31" t="str">
        <f>INDEX(Table4[SUBJECT],2)</f>
        <v>SCIENCE</v>
      </c>
    </row>
    <row r="32" spans="1:12" x14ac:dyDescent="0.3">
      <c r="A32">
        <v>103</v>
      </c>
      <c r="B32" t="s">
        <v>41</v>
      </c>
      <c r="C32" t="s">
        <v>45</v>
      </c>
      <c r="D32">
        <v>90</v>
      </c>
      <c r="H32">
        <f>MATCH(A33,Table4[ROLL NO],0)</f>
        <v>4</v>
      </c>
    </row>
    <row r="33" spans="1:4" x14ac:dyDescent="0.3">
      <c r="A33">
        <v>104</v>
      </c>
      <c r="B33" t="s">
        <v>42</v>
      </c>
      <c r="C33" t="s">
        <v>43</v>
      </c>
      <c r="D33">
        <v>65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E9C2-6C5D-4047-B6A4-A119C50AAD09}">
  <sheetPr codeName="Sheet3"/>
  <dimension ref="A1:B8"/>
  <sheetViews>
    <sheetView workbookViewId="0">
      <selection activeCell="B2" sqref="B2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52</v>
      </c>
      <c r="B1" t="s">
        <v>26</v>
      </c>
    </row>
    <row r="2" spans="1:2" x14ac:dyDescent="0.3">
      <c r="A2" t="s">
        <v>12</v>
      </c>
      <c r="B2" t="e" cm="1">
        <f t="array" aca="1" ref="B2" ca="1">IFERROaR(VLOOKUP(A2:A1000, Sheet1!B:D, 3, FALSE), "")</f>
        <v>#NAME?</v>
      </c>
    </row>
    <row r="5" spans="1:2" x14ac:dyDescent="0.3">
      <c r="B5" t="str">
        <f>_xlfn.XLOOKUP(A4,Sheet1!$B$2:$B$7,Sheet1!$D$2:$D$7,"")</f>
        <v/>
      </c>
    </row>
    <row r="6" spans="1:2" x14ac:dyDescent="0.3">
      <c r="B6" t="str">
        <f>_xlfn.XLOOKUP(A5,Sheet1!$B$2:$B$7,Sheet1!$D$2:$D$7,"")</f>
        <v/>
      </c>
    </row>
    <row r="7" spans="1:2" x14ac:dyDescent="0.3">
      <c r="B7" t="str">
        <f>_xlfn.XLOOKUP(A6,Sheet1!$B$2:$B$7,Sheet1!$D$2:$D$7,"")</f>
        <v/>
      </c>
    </row>
    <row r="8" spans="1:2" x14ac:dyDescent="0.3">
      <c r="B8" t="str">
        <f>_xlfn.XLOOKUP(A7,Sheet1!$B$2:$B$7,Sheet1!$D$2:$D$7,"")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112D-9431-4034-9D52-3509B390CE66}">
  <dimension ref="A1:F7"/>
  <sheetViews>
    <sheetView tabSelected="1" workbookViewId="0">
      <selection sqref="A1:F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12</v>
      </c>
      <c r="C2" t="s">
        <v>18</v>
      </c>
      <c r="D2">
        <v>55000</v>
      </c>
      <c r="E2">
        <v>18</v>
      </c>
      <c r="F2" t="s">
        <v>22</v>
      </c>
    </row>
    <row r="3" spans="1:6" x14ac:dyDescent="0.3">
      <c r="A3" t="s">
        <v>7</v>
      </c>
      <c r="B3" t="s">
        <v>13</v>
      </c>
      <c r="C3" t="s">
        <v>19</v>
      </c>
      <c r="D3">
        <v>900</v>
      </c>
      <c r="E3">
        <v>120</v>
      </c>
      <c r="F3" t="s">
        <v>23</v>
      </c>
    </row>
    <row r="4" spans="1:6" x14ac:dyDescent="0.3">
      <c r="A4" t="s">
        <v>8</v>
      </c>
      <c r="B4" t="s">
        <v>14</v>
      </c>
      <c r="C4" t="s">
        <v>19</v>
      </c>
      <c r="D4">
        <v>1800</v>
      </c>
      <c r="E4">
        <v>65</v>
      </c>
      <c r="F4" t="s">
        <v>22</v>
      </c>
    </row>
    <row r="5" spans="1:6" x14ac:dyDescent="0.3">
      <c r="A5" t="s">
        <v>9</v>
      </c>
      <c r="B5" t="s">
        <v>15</v>
      </c>
      <c r="C5" t="s">
        <v>20</v>
      </c>
      <c r="D5">
        <v>12500</v>
      </c>
      <c r="E5">
        <v>25</v>
      </c>
      <c r="F5" t="s">
        <v>24</v>
      </c>
    </row>
    <row r="6" spans="1:6" x14ac:dyDescent="0.3">
      <c r="A6" t="s">
        <v>10</v>
      </c>
      <c r="B6" t="s">
        <v>16</v>
      </c>
      <c r="C6" t="s">
        <v>21</v>
      </c>
      <c r="D6">
        <v>9800</v>
      </c>
      <c r="E6">
        <v>12</v>
      </c>
      <c r="F6" t="s">
        <v>23</v>
      </c>
    </row>
    <row r="7" spans="1:6" x14ac:dyDescent="0.3">
      <c r="A7" t="s">
        <v>11</v>
      </c>
      <c r="B7" t="s">
        <v>17</v>
      </c>
      <c r="C7" t="s">
        <v>19</v>
      </c>
      <c r="D7">
        <v>2400</v>
      </c>
      <c r="E7">
        <v>45</v>
      </c>
      <c r="F7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2026-07-25T05:08:23Z</dcterms:created>
  <dcterms:modified xsi:type="dcterms:W3CDTF">2026-07-30T18:02:02Z</dcterms:modified>
</cp:coreProperties>
</file>