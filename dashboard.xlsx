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931fd500c34387f7/Desktop/excel/"/>
    </mc:Choice>
  </mc:AlternateContent>
  <xr:revisionPtr revIDLastSave="930" documentId="8_{FE7D9E22-3457-47AE-BF4A-667B0C018B17}" xr6:coauthVersionLast="47" xr6:coauthVersionMax="47" xr10:uidLastSave="{CA292A1B-F1F5-4646-998F-2373396B6C79}"/>
  <bookViews>
    <workbookView xWindow="-108" yWindow="-108" windowWidth="23256" windowHeight="12456" activeTab="2" xr2:uid="{A42EC37E-6F00-4F32-917F-0379D8235168}"/>
  </bookViews>
  <sheets>
    <sheet name="data" sheetId="7" r:id="rId1"/>
    <sheet name="pivot table" sheetId="8" r:id="rId2"/>
    <sheet name="dashboard" sheetId="5" r:id="rId3"/>
  </sheets>
  <definedNames>
    <definedName name="Slicer_Course">#N/A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7" l="1"/>
  <c r="F66" i="7"/>
  <c r="F43" i="7"/>
  <c r="E78" i="7"/>
  <c r="F58" i="7"/>
  <c r="F7" i="7"/>
  <c r="E36" i="7"/>
  <c r="E65" i="7"/>
  <c r="E34" i="7"/>
  <c r="E9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5A6A0B-C390-41B2-AAC7-D178135E409C}"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<sst xmlns="http://schemas.openxmlformats.org/spreadsheetml/2006/main" count="1054" uniqueCount="253">
  <si>
    <t>StudentID</t>
  </si>
  <si>
    <t>Name</t>
  </si>
  <si>
    <t>Department</t>
  </si>
  <si>
    <t>Course</t>
  </si>
  <si>
    <t>Marks</t>
  </si>
  <si>
    <t>Attendance</t>
  </si>
  <si>
    <t>EnrollDate</t>
  </si>
  <si>
    <t>City</t>
  </si>
  <si>
    <t>Trainer</t>
  </si>
  <si>
    <t>Status</t>
  </si>
  <si>
    <t>STU001</t>
  </si>
  <si>
    <t>Student_1</t>
  </si>
  <si>
    <t>Engineering</t>
  </si>
  <si>
    <t>Python</t>
  </si>
  <si>
    <t>Delhi</t>
  </si>
  <si>
    <t>Rahul</t>
  </si>
  <si>
    <t>Inactive</t>
  </si>
  <si>
    <t>STU002</t>
  </si>
  <si>
    <t>Student_2</t>
  </si>
  <si>
    <t>Science</t>
  </si>
  <si>
    <t>WebDesign</t>
  </si>
  <si>
    <t>Chennai</t>
  </si>
  <si>
    <t>Varun</t>
  </si>
  <si>
    <t>STU003</t>
  </si>
  <si>
    <t>Student_3</t>
  </si>
  <si>
    <t>Commerce</t>
  </si>
  <si>
    <t>Kochi</t>
  </si>
  <si>
    <t>STU004</t>
  </si>
  <si>
    <t>Student_4</t>
  </si>
  <si>
    <t>DataAnalytics</t>
  </si>
  <si>
    <t>Meera</t>
  </si>
  <si>
    <t>STU005</t>
  </si>
  <si>
    <t>Student_5</t>
  </si>
  <si>
    <t>Excel</t>
  </si>
  <si>
    <t>Completed</t>
  </si>
  <si>
    <t>STU006</t>
  </si>
  <si>
    <t>Student_6</t>
  </si>
  <si>
    <t>Bangalore</t>
  </si>
  <si>
    <t>Athul</t>
  </si>
  <si>
    <t>Active</t>
  </si>
  <si>
    <t>STU007</t>
  </si>
  <si>
    <t>Student_7</t>
  </si>
  <si>
    <t>IT</t>
  </si>
  <si>
    <t>Mumbai</t>
  </si>
  <si>
    <t>STU008</t>
  </si>
  <si>
    <t>Student_8</t>
  </si>
  <si>
    <t>Neha</t>
  </si>
  <si>
    <t>STU009</t>
  </si>
  <si>
    <t>Student_9</t>
  </si>
  <si>
    <t>Arts</t>
  </si>
  <si>
    <t>STU010</t>
  </si>
  <si>
    <t>Student_10</t>
  </si>
  <si>
    <t>AI_ML</t>
  </si>
  <si>
    <t>STU011</t>
  </si>
  <si>
    <t>STU012</t>
  </si>
  <si>
    <t>STU013</t>
  </si>
  <si>
    <t>Student_13</t>
  </si>
  <si>
    <t>STU014</t>
  </si>
  <si>
    <t>Student_14</t>
  </si>
  <si>
    <t>STU015</t>
  </si>
  <si>
    <t>Student_15</t>
  </si>
  <si>
    <t>STU016</t>
  </si>
  <si>
    <t>Student_16</t>
  </si>
  <si>
    <t>STU017</t>
  </si>
  <si>
    <t>Student_17</t>
  </si>
  <si>
    <t>STU018</t>
  </si>
  <si>
    <t>Student_18</t>
  </si>
  <si>
    <t>STU019</t>
  </si>
  <si>
    <t>Student_19</t>
  </si>
  <si>
    <t>STU020</t>
  </si>
  <si>
    <t>Student_20</t>
  </si>
  <si>
    <t>STU021</t>
  </si>
  <si>
    <t>Student_21</t>
  </si>
  <si>
    <t>STU022</t>
  </si>
  <si>
    <t>Student_22</t>
  </si>
  <si>
    <t>STU023</t>
  </si>
  <si>
    <t>Student_23</t>
  </si>
  <si>
    <t>STU024</t>
  </si>
  <si>
    <t>Student_24</t>
  </si>
  <si>
    <t>STU025</t>
  </si>
  <si>
    <t>Student_25</t>
  </si>
  <si>
    <t>STU026</t>
  </si>
  <si>
    <t>Student_26</t>
  </si>
  <si>
    <t>STU027</t>
  </si>
  <si>
    <t>Student_27</t>
  </si>
  <si>
    <t>STU028</t>
  </si>
  <si>
    <t>Student_28</t>
  </si>
  <si>
    <t>STU029</t>
  </si>
  <si>
    <t>Student_29</t>
  </si>
  <si>
    <t>STU030</t>
  </si>
  <si>
    <t>Student_30</t>
  </si>
  <si>
    <t>STU031</t>
  </si>
  <si>
    <t>Student_31</t>
  </si>
  <si>
    <t>STU032</t>
  </si>
  <si>
    <t>Student_32</t>
  </si>
  <si>
    <t>STU033</t>
  </si>
  <si>
    <t>Student_33</t>
  </si>
  <si>
    <t>STU034</t>
  </si>
  <si>
    <t>Student_34</t>
  </si>
  <si>
    <t>STU035</t>
  </si>
  <si>
    <t>Student_35</t>
  </si>
  <si>
    <t>STU036</t>
  </si>
  <si>
    <t>Student_36</t>
  </si>
  <si>
    <t>STU037</t>
  </si>
  <si>
    <t>Student_37</t>
  </si>
  <si>
    <t>STU038</t>
  </si>
  <si>
    <t>Student_38</t>
  </si>
  <si>
    <t>STU039</t>
  </si>
  <si>
    <t>Student_39</t>
  </si>
  <si>
    <t>STU040</t>
  </si>
  <si>
    <t>Student_40</t>
  </si>
  <si>
    <t>STU041</t>
  </si>
  <si>
    <t>Student_41</t>
  </si>
  <si>
    <t>STU042</t>
  </si>
  <si>
    <t>Student_42</t>
  </si>
  <si>
    <t>STU043</t>
  </si>
  <si>
    <t>Student_43</t>
  </si>
  <si>
    <t>STU044</t>
  </si>
  <si>
    <t>Student_44</t>
  </si>
  <si>
    <t>STU045</t>
  </si>
  <si>
    <t>Student_45</t>
  </si>
  <si>
    <t>STU046</t>
  </si>
  <si>
    <t>Student_46</t>
  </si>
  <si>
    <t>STU047</t>
  </si>
  <si>
    <t>Student_47</t>
  </si>
  <si>
    <t>STU048</t>
  </si>
  <si>
    <t>Student_48</t>
  </si>
  <si>
    <t>STU049</t>
  </si>
  <si>
    <t>Student_49</t>
  </si>
  <si>
    <t>STU050</t>
  </si>
  <si>
    <t>Student_50</t>
  </si>
  <si>
    <t>STU051</t>
  </si>
  <si>
    <t>Student_51</t>
  </si>
  <si>
    <t>STU052</t>
  </si>
  <si>
    <t>Student_52</t>
  </si>
  <si>
    <t>STU053</t>
  </si>
  <si>
    <t>Student_53</t>
  </si>
  <si>
    <t>STU054</t>
  </si>
  <si>
    <t>Student_54</t>
  </si>
  <si>
    <t>STU055</t>
  </si>
  <si>
    <t>Student_55</t>
  </si>
  <si>
    <t>STU056</t>
  </si>
  <si>
    <t>STU057</t>
  </si>
  <si>
    <t>Student_57</t>
  </si>
  <si>
    <t>STU058</t>
  </si>
  <si>
    <t>Student_58</t>
  </si>
  <si>
    <t>STU059</t>
  </si>
  <si>
    <t>Student_59</t>
  </si>
  <si>
    <t>STU060</t>
  </si>
  <si>
    <t>Student_60</t>
  </si>
  <si>
    <t>STU061</t>
  </si>
  <si>
    <t>Student_61</t>
  </si>
  <si>
    <t>STU062</t>
  </si>
  <si>
    <t>Student_62</t>
  </si>
  <si>
    <t>STU063</t>
  </si>
  <si>
    <t>Student_63</t>
  </si>
  <si>
    <t>STU064</t>
  </si>
  <si>
    <t>Student_64</t>
  </si>
  <si>
    <t>STU065</t>
  </si>
  <si>
    <t>Student_65</t>
  </si>
  <si>
    <t>STU066</t>
  </si>
  <si>
    <t>Student_66</t>
  </si>
  <si>
    <t>STU067</t>
  </si>
  <si>
    <t>Student_67</t>
  </si>
  <si>
    <t>STU068</t>
  </si>
  <si>
    <t>Student_68</t>
  </si>
  <si>
    <t>STU069</t>
  </si>
  <si>
    <t>Student_69</t>
  </si>
  <si>
    <t>STU070</t>
  </si>
  <si>
    <t>STU071</t>
  </si>
  <si>
    <t>Student_71</t>
  </si>
  <si>
    <t>STU072</t>
  </si>
  <si>
    <t>Student_72</t>
  </si>
  <si>
    <t>STU073</t>
  </si>
  <si>
    <t>Student_73</t>
  </si>
  <si>
    <t>STU074</t>
  </si>
  <si>
    <t>Student_74</t>
  </si>
  <si>
    <t>STU075</t>
  </si>
  <si>
    <t>Student_75</t>
  </si>
  <si>
    <t>STU076</t>
  </si>
  <si>
    <t>Student_76</t>
  </si>
  <si>
    <t>STU077</t>
  </si>
  <si>
    <t>Student_77</t>
  </si>
  <si>
    <t>STU078</t>
  </si>
  <si>
    <t>STU079</t>
  </si>
  <si>
    <t>Student_79</t>
  </si>
  <si>
    <t>STU080</t>
  </si>
  <si>
    <t>Student_80</t>
  </si>
  <si>
    <t>STU081</t>
  </si>
  <si>
    <t>Student_81</t>
  </si>
  <si>
    <t>STU082</t>
  </si>
  <si>
    <t>Student_82</t>
  </si>
  <si>
    <t>STU083</t>
  </si>
  <si>
    <t>Student_83</t>
  </si>
  <si>
    <t>STU084</t>
  </si>
  <si>
    <t>Student_84</t>
  </si>
  <si>
    <t>STU085</t>
  </si>
  <si>
    <t>Student_85</t>
  </si>
  <si>
    <t>STU086</t>
  </si>
  <si>
    <t>Student_86</t>
  </si>
  <si>
    <t>STU087</t>
  </si>
  <si>
    <t>Student_87</t>
  </si>
  <si>
    <t>STU088</t>
  </si>
  <si>
    <t>Student_88</t>
  </si>
  <si>
    <t>STU089</t>
  </si>
  <si>
    <t>Student_89</t>
  </si>
  <si>
    <t>STU090</t>
  </si>
  <si>
    <t>Student_90</t>
  </si>
  <si>
    <t>STU091</t>
  </si>
  <si>
    <t>Student_91</t>
  </si>
  <si>
    <t>STU092</t>
  </si>
  <si>
    <t>Student_92</t>
  </si>
  <si>
    <t>STU093</t>
  </si>
  <si>
    <t>Student_93</t>
  </si>
  <si>
    <t>STU094</t>
  </si>
  <si>
    <t>Student_94</t>
  </si>
  <si>
    <t>STU095</t>
  </si>
  <si>
    <t>Student_95</t>
  </si>
  <si>
    <t>STU096</t>
  </si>
  <si>
    <t>Student_96</t>
  </si>
  <si>
    <t>STU097</t>
  </si>
  <si>
    <t>Student_97</t>
  </si>
  <si>
    <t>STU098</t>
  </si>
  <si>
    <t>Student_98</t>
  </si>
  <si>
    <t>STU099</t>
  </si>
  <si>
    <t>Student_99</t>
  </si>
  <si>
    <t>STU100</t>
  </si>
  <si>
    <t>Student_100</t>
  </si>
  <si>
    <t>Student_11</t>
  </si>
  <si>
    <t>Student_12</t>
  </si>
  <si>
    <t>Student_56</t>
  </si>
  <si>
    <t>Student_70</t>
  </si>
  <si>
    <t>Student_78</t>
  </si>
  <si>
    <t>STUDENT PERFORMANCE DASHBOARD</t>
  </si>
  <si>
    <t>Grand Total</t>
  </si>
  <si>
    <t>Count of StudentID</t>
  </si>
  <si>
    <t>Average of Marks</t>
  </si>
  <si>
    <t>studentid</t>
  </si>
  <si>
    <t>Average of Attendance</t>
  </si>
  <si>
    <t>status</t>
  </si>
  <si>
    <t>city</t>
  </si>
  <si>
    <t>department</t>
  </si>
  <si>
    <t>Jan</t>
  </si>
  <si>
    <t>Feb</t>
  </si>
  <si>
    <t>Mar</t>
  </si>
  <si>
    <t>Apr</t>
  </si>
  <si>
    <t>May</t>
  </si>
  <si>
    <t>Jun</t>
  </si>
  <si>
    <t>Jul</t>
  </si>
  <si>
    <t>Aug</t>
  </si>
  <si>
    <t>Sep</t>
  </si>
  <si>
    <t>Oct</t>
  </si>
  <si>
    <t>enrolldate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</si>
</sst>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28"/>
      <color theme="1"/>
      <name val="Times New Roman"/>
      <family val="1"/>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0" fontId="1" fillId="0" borderId="1" xfId="0" applyFont="1" applyBorder="1" applyAlignment="1">
      <alignment horizontal="center" vertical="top"/>
    </xf>
    <xf numFmtId="0" fontId="2" fillId="2" borderId="0" xfId="0" applyFont="1" applyFill="1" applyAlignment="1">
      <alignment horizontal="center"/>
    </xf>
  </cellXfs>
  <cellStyles count="1">
    <cellStyle name="Normal" xfId="0" builtinId="0"/>
  </cellStyles>
  <dxfs count="1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table!Pivot5</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solidFill>
                  <a:sysClr val="windowText" lastClr="000000"/>
                </a:solidFill>
                <a:latin typeface="Times New Roman" panose="02020603050405020304" pitchFamily="18" charset="0"/>
              </a:rPr>
              <a:t>STUDENT BY CITY</a:t>
            </a:r>
          </a:p>
          <a:p>
            <a:pPr>
              <a:defRPr sz="1600"/>
            </a:pPr>
            <a:endParaRPr lang="en-US" sz="1600" baseline="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table'!$K$9</c:f>
              <c:strCache>
                <c:ptCount val="1"/>
                <c:pt idx="0">
                  <c:v>Total</c:v>
                </c:pt>
              </c:strCache>
            </c:strRef>
          </c:tx>
          <c:spPr>
            <a:solidFill>
              <a:srgbClr val="002060"/>
            </a:solidFill>
            <a:ln>
              <a:noFill/>
            </a:ln>
            <a:effectLst/>
          </c:spPr>
          <c:invertIfNegative val="0"/>
          <c:cat>
            <c:strRef>
              <c:f>'pivot table'!$J$10:$J$15</c:f>
              <c:strCache>
                <c:ptCount val="5"/>
                <c:pt idx="0">
                  <c:v>Bangalore</c:v>
                </c:pt>
                <c:pt idx="1">
                  <c:v>Delhi</c:v>
                </c:pt>
                <c:pt idx="2">
                  <c:v>Chennai</c:v>
                </c:pt>
                <c:pt idx="3">
                  <c:v>Kochi</c:v>
                </c:pt>
                <c:pt idx="4">
                  <c:v>Mumbai</c:v>
                </c:pt>
              </c:strCache>
            </c:strRef>
          </c:cat>
          <c:val>
            <c:numRef>
              <c:f>'pivot table'!$K$10:$K$15</c:f>
              <c:numCache>
                <c:formatCode>General</c:formatCode>
                <c:ptCount val="5"/>
                <c:pt idx="0">
                  <c:v>24</c:v>
                </c:pt>
                <c:pt idx="1">
                  <c:v>23</c:v>
                </c:pt>
                <c:pt idx="2">
                  <c:v>21</c:v>
                </c:pt>
                <c:pt idx="3">
                  <c:v>19</c:v>
                </c:pt>
                <c:pt idx="4">
                  <c:v>13</c:v>
                </c:pt>
              </c:numCache>
            </c:numRef>
          </c:val>
          <c:extLst>
            <c:ext xmlns:c16="http://schemas.microsoft.com/office/drawing/2014/chart" uri="{C3380CC4-5D6E-409C-BE32-E72D297353CC}">
              <c16:uniqueId val="{00000000-9EC3-45C9-8362-103B3FC3968A}"/>
            </c:ext>
          </c:extLst>
        </c:ser>
        <c:dLbls>
          <c:showLegendKey val="0"/>
          <c:showVal val="0"/>
          <c:showCatName val="0"/>
          <c:showSerName val="0"/>
          <c:showPercent val="0"/>
          <c:showBubbleSize val="0"/>
        </c:dLbls>
        <c:gapWidth val="219"/>
        <c:overlap val="-27"/>
        <c:axId val="52926800"/>
        <c:axId val="2058724495"/>
      </c:barChart>
      <c:catAx>
        <c:axId val="529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Times New Roman" panose="02020603050405020304" pitchFamily="18" charset="0"/>
                <a:ea typeface="+mn-ea"/>
                <a:cs typeface="+mn-cs"/>
              </a:defRPr>
            </a:pPr>
            <a:endParaRPr lang="en-US"/>
          </a:p>
        </c:txPr>
        <c:crossAx val="2058724495"/>
        <c:crosses val="autoZero"/>
        <c:auto val="1"/>
        <c:lblAlgn val="ctr"/>
        <c:lblOffset val="100"/>
        <c:noMultiLvlLbl val="0"/>
      </c:catAx>
      <c:valAx>
        <c:axId val="205872449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Times New Roman" panose="02020603050405020304" pitchFamily="18" charset="0"/>
                <a:ea typeface="+mn-ea"/>
                <a:cs typeface="+mn-cs"/>
              </a:defRPr>
            </a:pPr>
            <a:endParaRPr lang="en-US"/>
          </a:p>
        </c:txPr>
        <c:crossAx val="5292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table!Pivot4</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i="0" baseline="0">
                <a:solidFill>
                  <a:schemeClr val="tx1"/>
                </a:solidFill>
                <a:latin typeface="Times New Roman" panose="02020603050405020304" pitchFamily="18" charset="0"/>
                <a:cs typeface="Times New Roman" panose="02020603050405020304" pitchFamily="18" charset="0"/>
              </a:rPr>
              <a:t>STUDENT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4">
              <a:lumMod val="60000"/>
              <a:lumOff val="40000"/>
            </a:schemeClr>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lumMod val="60000"/>
              <a:lumOff val="40000"/>
            </a:schemeClr>
          </a:solidFill>
          <a:ln w="19050">
            <a:solidFill>
              <a:schemeClr val="tx1"/>
            </a:solidFill>
          </a:ln>
          <a:effectLst/>
        </c:spPr>
        <c:dLbl>
          <c:idx val="0"/>
          <c:layout>
            <c:manualLayout>
              <c:x val="-0.11418815375661433"/>
              <c:y val="0.112348351059429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5">
              <a:lumMod val="60000"/>
              <a:lumOff val="40000"/>
            </a:schemeClr>
          </a:solidFill>
          <a:ln w="19050">
            <a:solidFill>
              <a:schemeClr val="tx1"/>
            </a:solidFill>
          </a:ln>
          <a:effectLst/>
        </c:spPr>
        <c:dLbl>
          <c:idx val="0"/>
          <c:layout>
            <c:manualLayout>
              <c:x val="3.5414700899555368E-2"/>
              <c:y val="-0.188276228567729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4">
              <a:lumMod val="60000"/>
              <a:lumOff val="40000"/>
            </a:schemeClr>
          </a:solidFill>
          <a:ln w="19050">
            <a:solidFill>
              <a:schemeClr val="tx1"/>
            </a:solidFill>
          </a:ln>
          <a:effectLst/>
        </c:spPr>
        <c:dLbl>
          <c:idx val="0"/>
          <c:layout>
            <c:manualLayout>
              <c:x val="0.13092663687218453"/>
              <c:y val="0.135383433983030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table'!$K$2</c:f>
              <c:strCache>
                <c:ptCount val="1"/>
                <c:pt idx="0">
                  <c:v>Total</c:v>
                </c:pt>
              </c:strCache>
            </c:strRef>
          </c:tx>
          <c:spPr>
            <a:solidFill>
              <a:schemeClr val="accent4">
                <a:lumMod val="60000"/>
                <a:lumOff val="40000"/>
              </a:schemeClr>
            </a:solidFill>
            <a:ln>
              <a:solidFill>
                <a:schemeClr val="tx1"/>
              </a:solidFill>
            </a:ln>
          </c:spPr>
          <c:dPt>
            <c:idx val="0"/>
            <c:bubble3D val="0"/>
            <c:spPr>
              <a:solidFill>
                <a:schemeClr val="accent6">
                  <a:lumMod val="60000"/>
                  <a:lumOff val="40000"/>
                </a:schemeClr>
              </a:solidFill>
              <a:ln w="19050">
                <a:solidFill>
                  <a:schemeClr val="tx1"/>
                </a:solidFill>
              </a:ln>
              <a:effectLst/>
            </c:spPr>
            <c:extLst>
              <c:ext xmlns:c16="http://schemas.microsoft.com/office/drawing/2014/chart" uri="{C3380CC4-5D6E-409C-BE32-E72D297353CC}">
                <c16:uniqueId val="{00000001-0130-439A-BBED-FC198D9ED771}"/>
              </c:ext>
            </c:extLst>
          </c:dPt>
          <c:dPt>
            <c:idx val="1"/>
            <c:bubble3D val="0"/>
            <c:spPr>
              <a:solidFill>
                <a:schemeClr val="accent5">
                  <a:lumMod val="60000"/>
                  <a:lumOff val="40000"/>
                </a:schemeClr>
              </a:solidFill>
              <a:ln w="19050">
                <a:solidFill>
                  <a:schemeClr val="tx1"/>
                </a:solidFill>
              </a:ln>
              <a:effectLst/>
            </c:spPr>
            <c:extLst>
              <c:ext xmlns:c16="http://schemas.microsoft.com/office/drawing/2014/chart" uri="{C3380CC4-5D6E-409C-BE32-E72D297353CC}">
                <c16:uniqueId val="{00000003-0130-439A-BBED-FC198D9ED771}"/>
              </c:ext>
            </c:extLst>
          </c:dPt>
          <c:dPt>
            <c:idx val="2"/>
            <c:bubble3D val="0"/>
            <c:spPr>
              <a:solidFill>
                <a:schemeClr val="accent4">
                  <a:lumMod val="60000"/>
                  <a:lumOff val="40000"/>
                </a:schemeClr>
              </a:solidFill>
              <a:ln w="19050">
                <a:solidFill>
                  <a:schemeClr val="tx1"/>
                </a:solidFill>
              </a:ln>
              <a:effectLst/>
            </c:spPr>
            <c:extLst>
              <c:ext xmlns:c16="http://schemas.microsoft.com/office/drawing/2014/chart" uri="{C3380CC4-5D6E-409C-BE32-E72D297353CC}">
                <c16:uniqueId val="{00000005-0130-439A-BBED-FC198D9ED771}"/>
              </c:ext>
            </c:extLst>
          </c:dPt>
          <c:dLbls>
            <c:dLbl>
              <c:idx val="0"/>
              <c:layout>
                <c:manualLayout>
                  <c:x val="-0.11418815375661433"/>
                  <c:y val="0.1123483510594294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30-439A-BBED-FC198D9ED771}"/>
                </c:ext>
              </c:extLst>
            </c:dLbl>
            <c:dLbl>
              <c:idx val="1"/>
              <c:layout>
                <c:manualLayout>
                  <c:x val="3.5414700899555368E-2"/>
                  <c:y val="-0.1882762285677290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30-439A-BBED-FC198D9ED771}"/>
                </c:ext>
              </c:extLst>
            </c:dLbl>
            <c:dLbl>
              <c:idx val="2"/>
              <c:layout>
                <c:manualLayout>
                  <c:x val="0.13092663687218453"/>
                  <c:y val="0.1353834339830304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130-439A-BBED-FC198D9ED77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table'!$J$3:$J$6</c:f>
              <c:strCache>
                <c:ptCount val="3"/>
                <c:pt idx="0">
                  <c:v>Active</c:v>
                </c:pt>
                <c:pt idx="1">
                  <c:v>Completed</c:v>
                </c:pt>
                <c:pt idx="2">
                  <c:v>Inactive</c:v>
                </c:pt>
              </c:strCache>
            </c:strRef>
          </c:cat>
          <c:val>
            <c:numRef>
              <c:f>'pivot table'!$K$3:$K$6</c:f>
              <c:numCache>
                <c:formatCode>General</c:formatCode>
                <c:ptCount val="3"/>
                <c:pt idx="0">
                  <c:v>38</c:v>
                </c:pt>
                <c:pt idx="1">
                  <c:v>29</c:v>
                </c:pt>
                <c:pt idx="2">
                  <c:v>33</c:v>
                </c:pt>
              </c:numCache>
            </c:numRef>
          </c:val>
          <c:extLst>
            <c:ext xmlns:c16="http://schemas.microsoft.com/office/drawing/2014/chart" uri="{C3380CC4-5D6E-409C-BE32-E72D297353CC}">
              <c16:uniqueId val="{00000006-0130-439A-BBED-FC198D9ED77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table!Pivot7</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Times New Roman" panose="02020603050405020304" pitchFamily="18" charset="0"/>
                <a:cs typeface="Times New Roman" panose="02020603050405020304" pitchFamily="18" charset="0"/>
              </a:rPr>
              <a:t>AVERAGE ATTENDENCE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76200" cap="rnd">
            <a:solidFill>
              <a:schemeClr val="tx1">
                <a:lumMod val="95000"/>
                <a:lumOff val="5000"/>
              </a:schemeClr>
            </a:solidFill>
            <a:round/>
          </a:ln>
          <a:effectLst/>
        </c:spPr>
        <c:marker>
          <c:symbol val="circle"/>
          <c:size val="7"/>
          <c:spPr>
            <a:solidFill>
              <a:srgbClr val="C00000"/>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table'!$K$26</c:f>
              <c:strCache>
                <c:ptCount val="1"/>
                <c:pt idx="0">
                  <c:v>Total</c:v>
                </c:pt>
              </c:strCache>
            </c:strRef>
          </c:tx>
          <c:spPr>
            <a:ln w="76200" cap="rnd">
              <a:solidFill>
                <a:schemeClr val="tx1">
                  <a:lumMod val="95000"/>
                  <a:lumOff val="5000"/>
                </a:schemeClr>
              </a:solidFill>
              <a:round/>
            </a:ln>
            <a:effectLst/>
          </c:spPr>
          <c:marker>
            <c:symbol val="circle"/>
            <c:size val="7"/>
            <c:spPr>
              <a:solidFill>
                <a:srgbClr val="C00000"/>
              </a:solidFill>
              <a:ln w="25400">
                <a:solidFill>
                  <a:schemeClr val="accent1"/>
                </a:solidFill>
              </a:ln>
              <a:effectLst/>
            </c:spPr>
          </c:marker>
          <c:cat>
            <c:strRef>
              <c:f>'pivot table'!$J$27:$J$37</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table'!$K$27:$K$37</c:f>
              <c:numCache>
                <c:formatCode>General</c:formatCode>
                <c:ptCount val="10"/>
                <c:pt idx="0">
                  <c:v>76.193181818181813</c:v>
                </c:pt>
                <c:pt idx="1">
                  <c:v>79.625</c:v>
                </c:pt>
                <c:pt idx="2">
                  <c:v>84.142857142857139</c:v>
                </c:pt>
                <c:pt idx="3">
                  <c:v>69.060728744939269</c:v>
                </c:pt>
                <c:pt idx="4">
                  <c:v>72.900000000000006</c:v>
                </c:pt>
                <c:pt idx="5">
                  <c:v>76.968627450980392</c:v>
                </c:pt>
                <c:pt idx="6">
                  <c:v>67</c:v>
                </c:pt>
                <c:pt idx="7">
                  <c:v>77.628787878787875</c:v>
                </c:pt>
                <c:pt idx="8">
                  <c:v>65.075000000000003</c:v>
                </c:pt>
                <c:pt idx="9">
                  <c:v>63.875</c:v>
                </c:pt>
              </c:numCache>
            </c:numRef>
          </c:val>
          <c:smooth val="0"/>
          <c:extLst>
            <c:ext xmlns:c16="http://schemas.microsoft.com/office/drawing/2014/chart" uri="{C3380CC4-5D6E-409C-BE32-E72D297353CC}">
              <c16:uniqueId val="{00000000-2E58-4E50-B791-DC482457BBE5}"/>
            </c:ext>
          </c:extLst>
        </c:ser>
        <c:dLbls>
          <c:showLegendKey val="0"/>
          <c:showVal val="0"/>
          <c:showCatName val="0"/>
          <c:showSerName val="0"/>
          <c:showPercent val="0"/>
          <c:showBubbleSize val="0"/>
        </c:dLbls>
        <c:marker val="1"/>
        <c:smooth val="0"/>
        <c:axId val="2105385455"/>
        <c:axId val="2058829615"/>
      </c:lineChart>
      <c:catAx>
        <c:axId val="210538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mn-cs"/>
              </a:defRPr>
            </a:pPr>
            <a:endParaRPr lang="en-US"/>
          </a:p>
        </c:txPr>
        <c:crossAx val="2058829615"/>
        <c:crosses val="autoZero"/>
        <c:auto val="1"/>
        <c:lblAlgn val="ctr"/>
        <c:lblOffset val="100"/>
        <c:noMultiLvlLbl val="0"/>
      </c:catAx>
      <c:valAx>
        <c:axId val="2058829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mn-cs"/>
              </a:defRPr>
            </a:pPr>
            <a:endParaRPr lang="en-US"/>
          </a:p>
        </c:txPr>
        <c:crossAx val="210538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table!Pivot6</c:name>
    <c:fmtId val="9"/>
  </c:pivotSource>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mn-cs"/>
              </a:defRPr>
            </a:pPr>
            <a:r>
              <a:rPr lang="en-US" sz="1600" b="1"/>
              <a:t>AVERAGE MARKS</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3"/>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table'!$K$17</c:f>
              <c:strCache>
                <c:ptCount val="1"/>
                <c:pt idx="0">
                  <c:v>Total</c:v>
                </c:pt>
              </c:strCache>
            </c:strRef>
          </c:tx>
          <c:spPr>
            <a:solidFill>
              <a:schemeClr val="accent6">
                <a:lumMod val="50000"/>
              </a:schemeClr>
            </a:solidFill>
            <a:ln>
              <a:solidFill>
                <a:schemeClr val="accent3"/>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table'!$J$18:$J$22</c:f>
              <c:strCache>
                <c:ptCount val="5"/>
                <c:pt idx="0">
                  <c:v>Science</c:v>
                </c:pt>
                <c:pt idx="1">
                  <c:v>Commerce</c:v>
                </c:pt>
                <c:pt idx="2">
                  <c:v>Engineering</c:v>
                </c:pt>
                <c:pt idx="3">
                  <c:v>Arts</c:v>
                </c:pt>
                <c:pt idx="4">
                  <c:v>IT</c:v>
                </c:pt>
              </c:strCache>
            </c:strRef>
          </c:cat>
          <c:val>
            <c:numRef>
              <c:f>'pivot table'!$K$18:$K$22</c:f>
              <c:numCache>
                <c:formatCode>0.00</c:formatCode>
                <c:ptCount val="5"/>
                <c:pt idx="0">
                  <c:v>71.798627002288328</c:v>
                </c:pt>
                <c:pt idx="1">
                  <c:v>70.149159663865547</c:v>
                </c:pt>
                <c:pt idx="2">
                  <c:v>68.927977839335171</c:v>
                </c:pt>
                <c:pt idx="3">
                  <c:v>68.687969924812037</c:v>
                </c:pt>
                <c:pt idx="4">
                  <c:v>66.258823529411757</c:v>
                </c:pt>
              </c:numCache>
            </c:numRef>
          </c:val>
          <c:extLst>
            <c:ext xmlns:c16="http://schemas.microsoft.com/office/drawing/2014/chart" uri="{C3380CC4-5D6E-409C-BE32-E72D297353CC}">
              <c16:uniqueId val="{00000000-6D14-410A-B22D-2115EC8E3F52}"/>
            </c:ext>
          </c:extLst>
        </c:ser>
        <c:dLbls>
          <c:dLblPos val="outEnd"/>
          <c:showLegendKey val="0"/>
          <c:showVal val="1"/>
          <c:showCatName val="0"/>
          <c:showSerName val="0"/>
          <c:showPercent val="0"/>
          <c:showBubbleSize val="0"/>
        </c:dLbls>
        <c:gapWidth val="182"/>
        <c:axId val="1573088287"/>
        <c:axId val="2058868975"/>
      </c:barChart>
      <c:catAx>
        <c:axId val="157308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mn-cs"/>
              </a:defRPr>
            </a:pPr>
            <a:endParaRPr lang="en-US"/>
          </a:p>
        </c:txPr>
        <c:crossAx val="2058868975"/>
        <c:crosses val="autoZero"/>
        <c:auto val="1"/>
        <c:lblAlgn val="ctr"/>
        <c:lblOffset val="100"/>
        <c:noMultiLvlLbl val="0"/>
      </c:catAx>
      <c:valAx>
        <c:axId val="2058868975"/>
        <c:scaling>
          <c:orientation val="minMax"/>
        </c:scaling>
        <c:delete val="1"/>
        <c:axPos val="b"/>
        <c:numFmt formatCode="0.00" sourceLinked="1"/>
        <c:majorTickMark val="none"/>
        <c:minorTickMark val="none"/>
        <c:tickLblPos val="nextTo"/>
        <c:crossAx val="157308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ysClr val="windowText" lastClr="000000"/>
          </a:solidFill>
          <a:latin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11</xdr:col>
      <xdr:colOff>495300</xdr:colOff>
      <xdr:row>4</xdr:row>
      <xdr:rowOff>114301</xdr:rowOff>
    </xdr:from>
    <xdr:to>
      <xdr:col>14</xdr:col>
      <xdr:colOff>495300</xdr:colOff>
      <xdr:row>11</xdr:row>
      <xdr:rowOff>7621</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395BE8FC-838D-4932-9476-2D7C35ED200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909300" y="833968"/>
              <a:ext cx="1841500" cy="1152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601980</xdr:colOff>
      <xdr:row>11</xdr:row>
      <xdr:rowOff>121920</xdr:rowOff>
    </xdr:from>
    <xdr:to>
      <xdr:col>14</xdr:col>
      <xdr:colOff>601980</xdr:colOff>
      <xdr:row>25</xdr:row>
      <xdr:rowOff>28575</xdr:rowOff>
    </xdr:to>
    <mc:AlternateContent xmlns:mc="http://schemas.openxmlformats.org/markup-compatibility/2006" xmlns:a14="http://schemas.microsoft.com/office/drawing/2010/main">
      <mc:Choice Requires="a14">
        <xdr:graphicFrame macro="">
          <xdr:nvGraphicFramePr>
            <xdr:cNvPr id="9" name="Course">
              <a:extLst>
                <a:ext uri="{FF2B5EF4-FFF2-40B4-BE49-F238E27FC236}">
                  <a16:creationId xmlns:a16="http://schemas.microsoft.com/office/drawing/2014/main" id="{30DB5315-731B-05BB-A701-A678ADC7EFFC}"/>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11015980" y="2101003"/>
              <a:ext cx="1841500" cy="2425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175054</xdr:colOff>
      <xdr:row>3</xdr:row>
      <xdr:rowOff>152400</xdr:rowOff>
    </xdr:from>
    <xdr:to>
      <xdr:col>4</xdr:col>
      <xdr:colOff>408892</xdr:colOff>
      <xdr:row>9</xdr:row>
      <xdr:rowOff>152400</xdr:rowOff>
    </xdr:to>
    <xdr:grpSp>
      <xdr:nvGrpSpPr>
        <xdr:cNvPr id="29" name="Group 28">
          <a:extLst>
            <a:ext uri="{FF2B5EF4-FFF2-40B4-BE49-F238E27FC236}">
              <a16:creationId xmlns:a16="http://schemas.microsoft.com/office/drawing/2014/main" id="{2D2EF599-F786-385E-EFCF-2FA574D21035}"/>
            </a:ext>
          </a:extLst>
        </xdr:cNvPr>
        <xdr:cNvGrpSpPr/>
      </xdr:nvGrpSpPr>
      <xdr:grpSpPr>
        <a:xfrm>
          <a:off x="175054" y="695325"/>
          <a:ext cx="2672238" cy="1085850"/>
          <a:chOff x="304800" y="733425"/>
          <a:chExt cx="2114550" cy="1104900"/>
        </a:xfrm>
        <a:effectLst>
          <a:outerShdw blurRad="50800" dist="38100" dir="2700000" algn="tl"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A468C26D-71E6-82D2-7884-0AFD9035C948}"/>
              </a:ext>
            </a:extLst>
          </xdr:cNvPr>
          <xdr:cNvSpPr/>
        </xdr:nvSpPr>
        <xdr:spPr>
          <a:xfrm>
            <a:off x="304800" y="733425"/>
            <a:ext cx="2114550" cy="1104900"/>
          </a:xfrm>
          <a:prstGeom prst="roundRect">
            <a:avLst/>
          </a:prstGeom>
          <a:solidFill>
            <a:sysClr val="window" lastClr="FFFFFF"/>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8" name="Group 27">
            <a:extLst>
              <a:ext uri="{FF2B5EF4-FFF2-40B4-BE49-F238E27FC236}">
                <a16:creationId xmlns:a16="http://schemas.microsoft.com/office/drawing/2014/main" id="{CEF6CD32-D093-B489-AF9F-A6D42A030911}"/>
              </a:ext>
            </a:extLst>
          </xdr:cNvPr>
          <xdr:cNvGrpSpPr/>
        </xdr:nvGrpSpPr>
        <xdr:grpSpPr>
          <a:xfrm>
            <a:off x="428625" y="857250"/>
            <a:ext cx="1847850" cy="900643"/>
            <a:chOff x="428625" y="857250"/>
            <a:chExt cx="1847850" cy="900643"/>
          </a:xfrm>
        </xdr:grpSpPr>
        <xdr:sp macro="" textlink="">
          <xdr:nvSpPr>
            <xdr:cNvPr id="26" name="TextBox 25">
              <a:extLst>
                <a:ext uri="{FF2B5EF4-FFF2-40B4-BE49-F238E27FC236}">
                  <a16:creationId xmlns:a16="http://schemas.microsoft.com/office/drawing/2014/main" id="{D9C880EB-6897-5D12-9F5D-1C0951EB527D}"/>
                </a:ext>
              </a:extLst>
            </xdr:cNvPr>
            <xdr:cNvSpPr txBox="1"/>
          </xdr:nvSpPr>
          <xdr:spPr>
            <a:xfrm>
              <a:off x="428625" y="857250"/>
              <a:ext cx="1847850" cy="29767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TOTAL</a:t>
              </a:r>
              <a:r>
                <a:rPr lang="en-IN" sz="1400" b="1" baseline="0">
                  <a:latin typeface="Times New Roman" panose="02020603050405020304" pitchFamily="18" charset="0"/>
                  <a:cs typeface="Times New Roman" panose="02020603050405020304" pitchFamily="18" charset="0"/>
                </a:rPr>
                <a:t> STUDENTS</a:t>
              </a:r>
              <a:endParaRPr lang="en-IN" sz="1400" b="1">
                <a:latin typeface="Times New Roman" panose="02020603050405020304" pitchFamily="18" charset="0"/>
                <a:cs typeface="Times New Roman" panose="02020603050405020304" pitchFamily="18" charset="0"/>
              </a:endParaRPr>
            </a:p>
          </xdr:txBody>
        </xdr:sp>
        <xdr:sp macro="" textlink="'pivot table'!B102">
          <xdr:nvSpPr>
            <xdr:cNvPr id="27" name="TextBox 26">
              <a:extLst>
                <a:ext uri="{FF2B5EF4-FFF2-40B4-BE49-F238E27FC236}">
                  <a16:creationId xmlns:a16="http://schemas.microsoft.com/office/drawing/2014/main" id="{ADA4BFFB-AD04-95C0-CBDE-544C99D6861B}"/>
                </a:ext>
              </a:extLst>
            </xdr:cNvPr>
            <xdr:cNvSpPr txBox="1"/>
          </xdr:nvSpPr>
          <xdr:spPr>
            <a:xfrm>
              <a:off x="729413" y="1226538"/>
              <a:ext cx="1104900" cy="5313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EB4D17-A8A8-469B-81E9-FB8ECA7B6F1A}"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lgn="ctr"/>
                <a:t>100</a:t>
              </a:fld>
              <a:endParaRPr lang="en-IN" sz="2800" b="1">
                <a:latin typeface="Times New Roman" panose="02020603050405020304" pitchFamily="18" charset="0"/>
                <a:cs typeface="Times New Roman" panose="02020603050405020304" pitchFamily="18" charset="0"/>
              </a:endParaRPr>
            </a:p>
          </xdr:txBody>
        </xdr:sp>
      </xdr:grpSp>
    </xdr:grpSp>
    <xdr:clientData/>
  </xdr:twoCellAnchor>
  <xdr:twoCellAnchor>
    <xdr:from>
      <xdr:col>4</xdr:col>
      <xdr:colOff>504567</xdr:colOff>
      <xdr:row>3</xdr:row>
      <xdr:rowOff>151126</xdr:rowOff>
    </xdr:from>
    <xdr:to>
      <xdr:col>9</xdr:col>
      <xdr:colOff>130864</xdr:colOff>
      <xdr:row>9</xdr:row>
      <xdr:rowOff>152476</xdr:rowOff>
    </xdr:to>
    <xdr:grpSp>
      <xdr:nvGrpSpPr>
        <xdr:cNvPr id="33" name="Group 32">
          <a:extLst>
            <a:ext uri="{FF2B5EF4-FFF2-40B4-BE49-F238E27FC236}">
              <a16:creationId xmlns:a16="http://schemas.microsoft.com/office/drawing/2014/main" id="{B3AD7598-4145-F021-A389-14D75214D872}"/>
            </a:ext>
          </a:extLst>
        </xdr:cNvPr>
        <xdr:cNvGrpSpPr/>
      </xdr:nvGrpSpPr>
      <xdr:grpSpPr>
        <a:xfrm>
          <a:off x="2942967" y="694051"/>
          <a:ext cx="2674297" cy="1087200"/>
          <a:chOff x="2573722" y="689734"/>
          <a:chExt cx="2352675" cy="1181100"/>
        </a:xfrm>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4F6A4142-9C4E-49F9-A064-B55ECC196630}"/>
              </a:ext>
            </a:extLst>
          </xdr:cNvPr>
          <xdr:cNvSpPr/>
        </xdr:nvSpPr>
        <xdr:spPr>
          <a:xfrm>
            <a:off x="2573722" y="689734"/>
            <a:ext cx="2352675" cy="1181100"/>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IN" sz="1400" b="1">
              <a:latin typeface="Times New Roman" panose="02020603050405020304" pitchFamily="18" charset="0"/>
              <a:cs typeface="Times New Roman" panose="02020603050405020304" pitchFamily="18" charset="0"/>
            </a:endParaRPr>
          </a:p>
        </xdr:txBody>
      </xdr:sp>
      <xdr:grpSp>
        <xdr:nvGrpSpPr>
          <xdr:cNvPr id="32" name="Group 31">
            <a:extLst>
              <a:ext uri="{FF2B5EF4-FFF2-40B4-BE49-F238E27FC236}">
                <a16:creationId xmlns:a16="http://schemas.microsoft.com/office/drawing/2014/main" id="{1B1170DC-B37B-4649-8C61-BDEF39DA8E77}"/>
              </a:ext>
            </a:extLst>
          </xdr:cNvPr>
          <xdr:cNvGrpSpPr/>
        </xdr:nvGrpSpPr>
        <xdr:grpSpPr>
          <a:xfrm>
            <a:off x="2647950" y="790575"/>
            <a:ext cx="2124075" cy="1027747"/>
            <a:chOff x="2647950" y="790575"/>
            <a:chExt cx="2124075" cy="1027747"/>
          </a:xfrm>
        </xdr:grpSpPr>
        <xdr:sp macro="" textlink="">
          <xdr:nvSpPr>
            <xdr:cNvPr id="30" name="TextBox 29">
              <a:extLst>
                <a:ext uri="{FF2B5EF4-FFF2-40B4-BE49-F238E27FC236}">
                  <a16:creationId xmlns:a16="http://schemas.microsoft.com/office/drawing/2014/main" id="{257937CE-DF18-DCB7-CE36-AF71B1F79D08}"/>
                </a:ext>
              </a:extLst>
            </xdr:cNvPr>
            <xdr:cNvSpPr txBox="1"/>
          </xdr:nvSpPr>
          <xdr:spPr>
            <a:xfrm>
              <a:off x="2647950" y="790575"/>
              <a:ext cx="2124075" cy="32868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Times New Roman" panose="02020603050405020304" pitchFamily="18" charset="0"/>
                  <a:ea typeface="+mn-ea"/>
                  <a:cs typeface="Times New Roman" panose="02020603050405020304" pitchFamily="18" charset="0"/>
                </a:rPr>
                <a:t>AVERAGE</a:t>
              </a:r>
              <a:r>
                <a:rPr lang="en-IN" sz="1200" b="1">
                  <a:solidFill>
                    <a:schemeClr val="dk1"/>
                  </a:solidFill>
                  <a:effectLst/>
                  <a:latin typeface="Times New Roman" panose="02020603050405020304" pitchFamily="18" charset="0"/>
                  <a:ea typeface="+mn-ea"/>
                  <a:cs typeface="Times New Roman" panose="02020603050405020304" pitchFamily="18" charset="0"/>
                </a:rPr>
                <a:t> MARKS</a:t>
              </a:r>
              <a:endParaRPr lang="en-IN" sz="1200">
                <a:effectLst/>
                <a:latin typeface="Times New Roman" panose="02020603050405020304" pitchFamily="18" charset="0"/>
                <a:cs typeface="Times New Roman" panose="02020603050405020304" pitchFamily="18" charset="0"/>
              </a:endParaRPr>
            </a:p>
            <a:p>
              <a:endParaRPr lang="en-IN" sz="1100"/>
            </a:p>
          </xdr:txBody>
        </xdr:sp>
        <xdr:sp macro="" textlink="'pivot table'!E103">
          <xdr:nvSpPr>
            <xdr:cNvPr id="31" name="TextBox 30">
              <a:extLst>
                <a:ext uri="{FF2B5EF4-FFF2-40B4-BE49-F238E27FC236}">
                  <a16:creationId xmlns:a16="http://schemas.microsoft.com/office/drawing/2014/main" id="{3BB1DCC7-6148-FC84-0D5C-6E8CAEFDF258}"/>
                </a:ext>
              </a:extLst>
            </xdr:cNvPr>
            <xdr:cNvSpPr txBox="1"/>
          </xdr:nvSpPr>
          <xdr:spPr>
            <a:xfrm>
              <a:off x="2847636" y="1195720"/>
              <a:ext cx="1695450" cy="62260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03A278-A3BB-443D-925A-5C6FFE37DBBD}"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lgn="ctr"/>
                <a:t>69.25</a:t>
              </a:fld>
              <a:endParaRPr lang="en-IN" sz="2800" b="1">
                <a:latin typeface="Times New Roman" panose="02020603050405020304" pitchFamily="18" charset="0"/>
                <a:cs typeface="Times New Roman" panose="02020603050405020304" pitchFamily="18" charset="0"/>
              </a:endParaRPr>
            </a:p>
          </xdr:txBody>
        </xdr:sp>
      </xdr:grpSp>
    </xdr:grpSp>
    <xdr:clientData/>
  </xdr:twoCellAnchor>
  <xdr:twoCellAnchor>
    <xdr:from>
      <xdr:col>9</xdr:col>
      <xdr:colOff>226540</xdr:colOff>
      <xdr:row>3</xdr:row>
      <xdr:rowOff>171720</xdr:rowOff>
    </xdr:from>
    <xdr:to>
      <xdr:col>13</xdr:col>
      <xdr:colOff>460378</xdr:colOff>
      <xdr:row>9</xdr:row>
      <xdr:rowOff>173070</xdr:rowOff>
    </xdr:to>
    <xdr:grpSp>
      <xdr:nvGrpSpPr>
        <xdr:cNvPr id="43" name="Group 42">
          <a:extLst>
            <a:ext uri="{FF2B5EF4-FFF2-40B4-BE49-F238E27FC236}">
              <a16:creationId xmlns:a16="http://schemas.microsoft.com/office/drawing/2014/main" id="{5548D731-11B1-4650-4DBE-D3CC3E1D0BE4}"/>
            </a:ext>
          </a:extLst>
        </xdr:cNvPr>
        <xdr:cNvGrpSpPr/>
      </xdr:nvGrpSpPr>
      <xdr:grpSpPr>
        <a:xfrm>
          <a:off x="5712940" y="714645"/>
          <a:ext cx="2672238" cy="1087200"/>
          <a:chOff x="5019674" y="684212"/>
          <a:chExt cx="2113200" cy="1087200"/>
        </a:xfrm>
        <a:effectLst>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ECDF525D-A2A4-4C81-ABBF-0A9CBB31040F}"/>
              </a:ext>
            </a:extLst>
          </xdr:cNvPr>
          <xdr:cNvSpPr/>
        </xdr:nvSpPr>
        <xdr:spPr>
          <a:xfrm>
            <a:off x="5019674" y="684212"/>
            <a:ext cx="2113200" cy="1087200"/>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IN" sz="1400" b="1">
              <a:latin typeface="Times New Roman" panose="02020603050405020304" pitchFamily="18" charset="0"/>
              <a:cs typeface="Times New Roman" panose="02020603050405020304" pitchFamily="18" charset="0"/>
            </a:endParaRPr>
          </a:p>
        </xdr:txBody>
      </xdr:sp>
      <xdr:grpSp>
        <xdr:nvGrpSpPr>
          <xdr:cNvPr id="42" name="Group 41">
            <a:extLst>
              <a:ext uri="{FF2B5EF4-FFF2-40B4-BE49-F238E27FC236}">
                <a16:creationId xmlns:a16="http://schemas.microsoft.com/office/drawing/2014/main" id="{13FE1D27-A510-1EF5-4466-7330EE35CCA2}"/>
              </a:ext>
            </a:extLst>
          </xdr:cNvPr>
          <xdr:cNvGrpSpPr/>
        </xdr:nvGrpSpPr>
        <xdr:grpSpPr>
          <a:xfrm>
            <a:off x="5108428" y="748886"/>
            <a:ext cx="1894302" cy="994301"/>
            <a:chOff x="5108428" y="748886"/>
            <a:chExt cx="1894302" cy="994301"/>
          </a:xfrm>
        </xdr:grpSpPr>
        <xdr:sp macro="" textlink="">
          <xdr:nvSpPr>
            <xdr:cNvPr id="34" name="TextBox 33">
              <a:extLst>
                <a:ext uri="{FF2B5EF4-FFF2-40B4-BE49-F238E27FC236}">
                  <a16:creationId xmlns:a16="http://schemas.microsoft.com/office/drawing/2014/main" id="{C9812907-B356-A0DE-6320-70E385BD72E1}"/>
                </a:ext>
              </a:extLst>
            </xdr:cNvPr>
            <xdr:cNvSpPr txBox="1"/>
          </xdr:nvSpPr>
          <xdr:spPr>
            <a:xfrm>
              <a:off x="5108428" y="748886"/>
              <a:ext cx="1894302" cy="50163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Times New Roman" panose="02020603050405020304" pitchFamily="18" charset="0"/>
                  <a:ea typeface="+mn-ea"/>
                  <a:cs typeface="Times New Roman" panose="02020603050405020304" pitchFamily="18" charset="0"/>
                </a:rPr>
                <a:t>AVERAGE</a:t>
              </a:r>
              <a:r>
                <a:rPr lang="en-IN" sz="1400" b="1" baseline="0">
                  <a:solidFill>
                    <a:schemeClr val="dk1"/>
                  </a:solidFill>
                  <a:effectLst/>
                  <a:latin typeface="Times New Roman" panose="02020603050405020304" pitchFamily="18" charset="0"/>
                  <a:ea typeface="+mn-ea"/>
                  <a:cs typeface="Times New Roman" panose="02020603050405020304" pitchFamily="18" charset="0"/>
                </a:rPr>
                <a:t> </a:t>
              </a:r>
              <a:r>
                <a:rPr lang="en-IN" sz="1400" b="1">
                  <a:solidFill>
                    <a:schemeClr val="dk1"/>
                  </a:solidFill>
                  <a:effectLst/>
                  <a:latin typeface="Times New Roman" panose="02020603050405020304" pitchFamily="18" charset="0"/>
                  <a:ea typeface="+mn-ea"/>
                  <a:cs typeface="Times New Roman" panose="02020603050405020304" pitchFamily="18" charset="0"/>
                </a:rPr>
                <a:t>ATTENDENCE</a:t>
              </a:r>
              <a:endParaRPr lang="en-IN" sz="1400" b="1">
                <a:effectLst/>
                <a:latin typeface="Times New Roman" panose="02020603050405020304" pitchFamily="18" charset="0"/>
                <a:cs typeface="Times New Roman" panose="02020603050405020304" pitchFamily="18" charset="0"/>
              </a:endParaRPr>
            </a:p>
            <a:p>
              <a:endParaRPr lang="en-IN" sz="1100"/>
            </a:p>
          </xdr:txBody>
        </xdr:sp>
        <xdr:sp macro="" textlink="'pivot table'!H103">
          <xdr:nvSpPr>
            <xdr:cNvPr id="35" name="TextBox 34">
              <a:extLst>
                <a:ext uri="{FF2B5EF4-FFF2-40B4-BE49-F238E27FC236}">
                  <a16:creationId xmlns:a16="http://schemas.microsoft.com/office/drawing/2014/main" id="{261F3648-95AF-6AD4-DAE0-27CEC439236D}"/>
                </a:ext>
              </a:extLst>
            </xdr:cNvPr>
            <xdr:cNvSpPr txBox="1"/>
          </xdr:nvSpPr>
          <xdr:spPr>
            <a:xfrm>
              <a:off x="5289086" y="1260573"/>
              <a:ext cx="1616471" cy="4826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4F65E9-76F8-40BB-8275-F793A9ED18A6}"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lgn="ctr"/>
                <a:t>73.41</a:t>
              </a:fld>
              <a:r>
                <a:rPr lang="en-US" sz="2800" b="1" i="0" u="none" strike="noStrike">
                  <a:solidFill>
                    <a:srgbClr val="000000"/>
                  </a:solidFill>
                  <a:latin typeface="Times New Roman" panose="02020603050405020304" pitchFamily="18" charset="0"/>
                  <a:ea typeface="Calibri"/>
                  <a:cs typeface="Times New Roman" panose="02020603050405020304" pitchFamily="18" charset="0"/>
                </a:rPr>
                <a:t> %</a:t>
              </a:r>
              <a:endParaRPr lang="en-IN" sz="2800" b="1">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556054</xdr:colOff>
      <xdr:row>4</xdr:row>
      <xdr:rowOff>0</xdr:rowOff>
    </xdr:from>
    <xdr:to>
      <xdr:col>18</xdr:col>
      <xdr:colOff>52751</xdr:colOff>
      <xdr:row>10</xdr:row>
      <xdr:rowOff>291</xdr:rowOff>
    </xdr:to>
    <xdr:grpSp>
      <xdr:nvGrpSpPr>
        <xdr:cNvPr id="51" name="Group 50">
          <a:extLst>
            <a:ext uri="{FF2B5EF4-FFF2-40B4-BE49-F238E27FC236}">
              <a16:creationId xmlns:a16="http://schemas.microsoft.com/office/drawing/2014/main" id="{B96BA056-DBEC-E77E-4367-98712B350BDF}"/>
            </a:ext>
          </a:extLst>
        </xdr:cNvPr>
        <xdr:cNvGrpSpPr/>
      </xdr:nvGrpSpPr>
      <xdr:grpSpPr>
        <a:xfrm>
          <a:off x="8480854" y="723900"/>
          <a:ext cx="2544697" cy="1086141"/>
          <a:chOff x="7548813" y="721895"/>
          <a:chExt cx="2119216" cy="1056118"/>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8B200178-D241-4619-9D9C-7512CFE5BBB9}"/>
              </a:ext>
            </a:extLst>
          </xdr:cNvPr>
          <xdr:cNvSpPr/>
        </xdr:nvSpPr>
        <xdr:spPr>
          <a:xfrm>
            <a:off x="7548813" y="721895"/>
            <a:ext cx="2119216" cy="1056118"/>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endParaRPr lang="en-IN" sz="1400" b="1">
              <a:latin typeface="Times New Roman" panose="02020603050405020304" pitchFamily="18" charset="0"/>
              <a:cs typeface="Times New Roman" panose="02020603050405020304" pitchFamily="18" charset="0"/>
            </a:endParaRPr>
          </a:p>
        </xdr:txBody>
      </xdr:sp>
      <xdr:grpSp>
        <xdr:nvGrpSpPr>
          <xdr:cNvPr id="50" name="Group 49">
            <a:extLst>
              <a:ext uri="{FF2B5EF4-FFF2-40B4-BE49-F238E27FC236}">
                <a16:creationId xmlns:a16="http://schemas.microsoft.com/office/drawing/2014/main" id="{939B4843-E234-F275-0038-317F3D675A10}"/>
              </a:ext>
            </a:extLst>
          </xdr:cNvPr>
          <xdr:cNvGrpSpPr/>
        </xdr:nvGrpSpPr>
        <xdr:grpSpPr>
          <a:xfrm>
            <a:off x="7701332" y="769242"/>
            <a:ext cx="1894451" cy="868556"/>
            <a:chOff x="7701332" y="769242"/>
            <a:chExt cx="1894451" cy="868556"/>
          </a:xfrm>
        </xdr:grpSpPr>
        <xdr:sp macro="" textlink="">
          <xdr:nvSpPr>
            <xdr:cNvPr id="38" name="TextBox 37">
              <a:extLst>
                <a:ext uri="{FF2B5EF4-FFF2-40B4-BE49-F238E27FC236}">
                  <a16:creationId xmlns:a16="http://schemas.microsoft.com/office/drawing/2014/main" id="{6BDABA23-6232-CB89-0585-06FD69DA7C19}"/>
                </a:ext>
              </a:extLst>
            </xdr:cNvPr>
            <xdr:cNvSpPr txBox="1"/>
          </xdr:nvSpPr>
          <xdr:spPr>
            <a:xfrm>
              <a:off x="7701332" y="769242"/>
              <a:ext cx="1894451" cy="35524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Times New Roman" panose="02020603050405020304" pitchFamily="18" charset="0"/>
                  <a:ea typeface="+mn-ea"/>
                  <a:cs typeface="Times New Roman" panose="02020603050405020304" pitchFamily="18" charset="0"/>
                </a:rPr>
                <a:t>ACTIVE STUDENTS</a:t>
              </a:r>
              <a:endParaRPr lang="en-IN" sz="1400">
                <a:effectLst/>
                <a:latin typeface="Times New Roman" panose="02020603050405020304" pitchFamily="18" charset="0"/>
                <a:cs typeface="Times New Roman" panose="02020603050405020304" pitchFamily="18" charset="0"/>
              </a:endParaRPr>
            </a:p>
            <a:p>
              <a:endParaRPr lang="en-IN" sz="1100"/>
            </a:p>
          </xdr:txBody>
        </xdr:sp>
        <xdr:sp macro="" textlink="'pivot table'!K3">
          <xdr:nvSpPr>
            <xdr:cNvPr id="39" name="TextBox 38">
              <a:extLst>
                <a:ext uri="{FF2B5EF4-FFF2-40B4-BE49-F238E27FC236}">
                  <a16:creationId xmlns:a16="http://schemas.microsoft.com/office/drawing/2014/main" id="{C1D29922-A7C8-3FB4-0787-621A100971BA}"/>
                </a:ext>
              </a:extLst>
            </xdr:cNvPr>
            <xdr:cNvSpPr txBox="1"/>
          </xdr:nvSpPr>
          <xdr:spPr>
            <a:xfrm>
              <a:off x="7902015" y="1124489"/>
              <a:ext cx="1404784" cy="51330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99192D-1BBB-4A36-BF55-80B57088160B}" type="TxLink">
                <a:rPr lang="en-US" sz="2800" b="1" i="0" u="none" strike="noStrike">
                  <a:solidFill>
                    <a:srgbClr val="000000"/>
                  </a:solidFill>
                  <a:latin typeface="Times New Roman" panose="02020603050405020304" pitchFamily="18" charset="0"/>
                  <a:ea typeface="Calibri"/>
                  <a:cs typeface="Times New Roman" panose="02020603050405020304" pitchFamily="18" charset="0"/>
                </a:rPr>
                <a:pPr algn="ctr"/>
                <a:t>38</a:t>
              </a:fld>
              <a:endParaRPr lang="en-IN" sz="5400" b="1">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258179</xdr:colOff>
      <xdr:row>17</xdr:row>
      <xdr:rowOff>8522</xdr:rowOff>
    </xdr:from>
    <xdr:to>
      <xdr:col>3</xdr:col>
      <xdr:colOff>491289</xdr:colOff>
      <xdr:row>34</xdr:row>
      <xdr:rowOff>133865</xdr:rowOff>
    </xdr:to>
    <xdr:graphicFrame macro="">
      <xdr:nvGraphicFramePr>
        <xdr:cNvPr id="44" name="Chart 43">
          <a:extLst>
            <a:ext uri="{FF2B5EF4-FFF2-40B4-BE49-F238E27FC236}">
              <a16:creationId xmlns:a16="http://schemas.microsoft.com/office/drawing/2014/main" id="{ADFE1ACC-5F62-42A0-BFCF-12F1D9A3C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590550</xdr:colOff>
      <xdr:row>10</xdr:row>
      <xdr:rowOff>104775</xdr:rowOff>
    </xdr:from>
    <xdr:to>
      <xdr:col>10</xdr:col>
      <xdr:colOff>270710</xdr:colOff>
      <xdr:row>22</xdr:row>
      <xdr:rowOff>104775</xdr:rowOff>
    </xdr:to>
    <xdr:graphicFrame macro="">
      <xdr:nvGraphicFramePr>
        <xdr:cNvPr id="45" name="Chart 44">
          <a:extLst>
            <a:ext uri="{FF2B5EF4-FFF2-40B4-BE49-F238E27FC236}">
              <a16:creationId xmlns:a16="http://schemas.microsoft.com/office/drawing/2014/main" id="{D9EEF918-1C4E-4141-8DB1-3F1A8D101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61785</xdr:colOff>
      <xdr:row>23</xdr:row>
      <xdr:rowOff>22557</xdr:rowOff>
    </xdr:from>
    <xdr:to>
      <xdr:col>18</xdr:col>
      <xdr:colOff>82378</xdr:colOff>
      <xdr:row>35</xdr:row>
      <xdr:rowOff>13032</xdr:rowOff>
    </xdr:to>
    <xdr:graphicFrame macro="">
      <xdr:nvGraphicFramePr>
        <xdr:cNvPr id="46" name="Chart 45">
          <a:extLst>
            <a:ext uri="{FF2B5EF4-FFF2-40B4-BE49-F238E27FC236}">
              <a16:creationId xmlns:a16="http://schemas.microsoft.com/office/drawing/2014/main" id="{38EC5FC1-2860-4027-A532-20B4C0B8D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411078</xdr:colOff>
      <xdr:row>10</xdr:row>
      <xdr:rowOff>111291</xdr:rowOff>
    </xdr:from>
    <xdr:to>
      <xdr:col>18</xdr:col>
      <xdr:colOff>60157</xdr:colOff>
      <xdr:row>22</xdr:row>
      <xdr:rowOff>90237</xdr:rowOff>
    </xdr:to>
    <xdr:graphicFrame macro="">
      <xdr:nvGraphicFramePr>
        <xdr:cNvPr id="47" name="Chart 46">
          <a:extLst>
            <a:ext uri="{FF2B5EF4-FFF2-40B4-BE49-F238E27FC236}">
              <a16:creationId xmlns:a16="http://schemas.microsoft.com/office/drawing/2014/main" id="{E3954BF8-8785-4213-97BC-E9707EF3A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20053</xdr:colOff>
          <xdr:row>23</xdr:row>
          <xdr:rowOff>30081</xdr:rowOff>
        </xdr:from>
        <xdr:to>
          <xdr:col>9</xdr:col>
          <xdr:colOff>545757</xdr:colOff>
          <xdr:row>34</xdr:row>
          <xdr:rowOff>175054</xdr:rowOff>
        </xdr:to>
        <xdr:pic>
          <xdr:nvPicPr>
            <xdr:cNvPr id="67" name="Picture 66">
              <a:extLst>
                <a:ext uri="{FF2B5EF4-FFF2-40B4-BE49-F238E27FC236}">
                  <a16:creationId xmlns:a16="http://schemas.microsoft.com/office/drawing/2014/main" id="{24BC1CF1-47A6-CBD3-A59E-F622C5A0AFF4}"/>
                </a:ext>
              </a:extLst>
            </xdr:cNvPr>
            <xdr:cNvPicPr>
              <a:picLocks noChangeAspect="1" noChangeArrowheads="1"/>
              <a:extLst>
                <a:ext uri="{84589F7E-364E-4C9E-8A38-B11213B215E9}">
                  <a14:cameraTool cellRange="'pivot table'!$J$17:$K$23" spid="_x0000_s5215"/>
                </a:ext>
              </a:extLst>
            </xdr:cNvPicPr>
          </xdr:nvPicPr>
          <xdr:blipFill rotWithShape="1">
            <a:blip xmlns:r="http://schemas.openxmlformats.org/officeDocument/2006/relationships" r:embed="rId5"/>
            <a:srcRect b="13438"/>
            <a:stretch>
              <a:fillRect/>
            </a:stretch>
          </xdr:blipFill>
          <xdr:spPr bwMode="auto">
            <a:xfrm>
              <a:off x="2450215" y="4293162"/>
              <a:ext cx="3563407" cy="21838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18</xdr:col>
      <xdr:colOff>183455</xdr:colOff>
      <xdr:row>20</xdr:row>
      <xdr:rowOff>0</xdr:rowOff>
    </xdr:from>
    <xdr:to>
      <xdr:col>21</xdr:col>
      <xdr:colOff>177440</xdr:colOff>
      <xdr:row>35</xdr:row>
      <xdr:rowOff>20594</xdr:rowOff>
    </xdr:to>
    <mc:AlternateContent xmlns:mc="http://schemas.openxmlformats.org/markup-compatibility/2006" xmlns:a14="http://schemas.microsoft.com/office/drawing/2010/main">
      <mc:Choice Requires="a14">
        <xdr:graphicFrame macro="">
          <xdr:nvGraphicFramePr>
            <xdr:cNvPr id="68" name="Course 1">
              <a:extLst>
                <a:ext uri="{FF2B5EF4-FFF2-40B4-BE49-F238E27FC236}">
                  <a16:creationId xmlns:a16="http://schemas.microsoft.com/office/drawing/2014/main" id="{9EDF6A59-3BB0-4ACF-8B4B-C80DC9472239}"/>
                </a:ext>
              </a:extLst>
            </xdr:cNvPr>
            <xdr:cNvGraphicFramePr/>
          </xdr:nvGraphicFramePr>
          <xdr:xfrm>
            <a:off x="0" y="0"/>
            <a:ext cx="0" cy="0"/>
          </xdr:xfrm>
          <a:graphic>
            <a:graphicData uri="http://schemas.microsoft.com/office/drawing/2010/slicer">
              <sle:slicer xmlns:sle="http://schemas.microsoft.com/office/drawing/2010/slicer" name="Course 1"/>
            </a:graphicData>
          </a:graphic>
        </xdr:graphicFrame>
      </mc:Choice>
      <mc:Fallback xmlns="">
        <xdr:sp macro="" textlink="">
          <xdr:nvSpPr>
            <xdr:cNvPr id="0" name=""/>
            <xdr:cNvSpPr>
              <a:spLocks noTextEdit="1"/>
            </xdr:cNvSpPr>
          </xdr:nvSpPr>
          <xdr:spPr>
            <a:xfrm>
              <a:off x="11156255" y="3619500"/>
              <a:ext cx="1822785" cy="2735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163131</xdr:colOff>
      <xdr:row>10</xdr:row>
      <xdr:rowOff>92675</xdr:rowOff>
    </xdr:from>
    <xdr:to>
      <xdr:col>21</xdr:col>
      <xdr:colOff>157116</xdr:colOff>
      <xdr:row>19</xdr:row>
      <xdr:rowOff>82378</xdr:rowOff>
    </xdr:to>
    <mc:AlternateContent xmlns:mc="http://schemas.openxmlformats.org/markup-compatibility/2006" xmlns:a14="http://schemas.microsoft.com/office/drawing/2010/main">
      <mc:Choice Requires="a14">
        <xdr:graphicFrame macro="">
          <xdr:nvGraphicFramePr>
            <xdr:cNvPr id="69" name="Status 1">
              <a:extLst>
                <a:ext uri="{FF2B5EF4-FFF2-40B4-BE49-F238E27FC236}">
                  <a16:creationId xmlns:a16="http://schemas.microsoft.com/office/drawing/2014/main" id="{85974877-02C0-4768-BFE9-003BF754FD2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1135931" y="1902425"/>
              <a:ext cx="1822785" cy="1618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210551</xdr:colOff>
      <xdr:row>10</xdr:row>
      <xdr:rowOff>100263</xdr:rowOff>
    </xdr:from>
    <xdr:to>
      <xdr:col>3</xdr:col>
      <xdr:colOff>488935</xdr:colOff>
      <xdr:row>16</xdr:row>
      <xdr:rowOff>104621</xdr:rowOff>
    </xdr:to>
    <xdr:grpSp>
      <xdr:nvGrpSpPr>
        <xdr:cNvPr id="77" name="Group 76">
          <a:extLst>
            <a:ext uri="{FF2B5EF4-FFF2-40B4-BE49-F238E27FC236}">
              <a16:creationId xmlns:a16="http://schemas.microsoft.com/office/drawing/2014/main" id="{F14E4E83-85C4-6879-C23B-7A7644CB1630}"/>
            </a:ext>
          </a:extLst>
        </xdr:cNvPr>
        <xdr:cNvGrpSpPr/>
      </xdr:nvGrpSpPr>
      <xdr:grpSpPr>
        <a:xfrm>
          <a:off x="210551" y="1910013"/>
          <a:ext cx="2107184" cy="1090208"/>
          <a:chOff x="250657" y="1945106"/>
          <a:chExt cx="2113200" cy="1087200"/>
        </a:xfrm>
        <a:effectLst>
          <a:outerShdw blurRad="50800" dist="38100" dir="2700000" algn="tl" rotWithShape="0">
            <a:prstClr val="black">
              <a:alpha val="40000"/>
            </a:prstClr>
          </a:outerShdw>
        </a:effectLst>
      </xdr:grpSpPr>
      <xdr:grpSp>
        <xdr:nvGrpSpPr>
          <xdr:cNvPr id="76" name="Group 75">
            <a:extLst>
              <a:ext uri="{FF2B5EF4-FFF2-40B4-BE49-F238E27FC236}">
                <a16:creationId xmlns:a16="http://schemas.microsoft.com/office/drawing/2014/main" id="{C7B8CBD2-594C-098E-F43B-663996260881}"/>
              </a:ext>
            </a:extLst>
          </xdr:cNvPr>
          <xdr:cNvGrpSpPr/>
        </xdr:nvGrpSpPr>
        <xdr:grpSpPr>
          <a:xfrm>
            <a:off x="250657" y="1945106"/>
            <a:ext cx="2113200" cy="1087200"/>
            <a:chOff x="250657" y="1945106"/>
            <a:chExt cx="2113200" cy="1087200"/>
          </a:xfrm>
        </xdr:grpSpPr>
        <xdr:grpSp>
          <xdr:nvGrpSpPr>
            <xdr:cNvPr id="75" name="Group 74">
              <a:extLst>
                <a:ext uri="{FF2B5EF4-FFF2-40B4-BE49-F238E27FC236}">
                  <a16:creationId xmlns:a16="http://schemas.microsoft.com/office/drawing/2014/main" id="{38F5FA75-9BE6-E3D7-E6E2-D7DCCB003DA1}"/>
                </a:ext>
              </a:extLst>
            </xdr:cNvPr>
            <xdr:cNvGrpSpPr/>
          </xdr:nvGrpSpPr>
          <xdr:grpSpPr>
            <a:xfrm>
              <a:off x="250657" y="1945106"/>
              <a:ext cx="2113200" cy="1087200"/>
              <a:chOff x="250657" y="1945106"/>
              <a:chExt cx="2113200" cy="1087200"/>
            </a:xfrm>
          </xdr:grpSpPr>
          <xdr:grpSp>
            <xdr:nvGrpSpPr>
              <xdr:cNvPr id="74" name="Group 73">
                <a:extLst>
                  <a:ext uri="{FF2B5EF4-FFF2-40B4-BE49-F238E27FC236}">
                    <a16:creationId xmlns:a16="http://schemas.microsoft.com/office/drawing/2014/main" id="{139D37E1-CF29-37F8-C61D-0AC348EC7F4E}"/>
                  </a:ext>
                </a:extLst>
              </xdr:cNvPr>
              <xdr:cNvGrpSpPr/>
            </xdr:nvGrpSpPr>
            <xdr:grpSpPr>
              <a:xfrm>
                <a:off x="250657" y="1945106"/>
                <a:ext cx="2113200" cy="1087200"/>
                <a:chOff x="250657" y="1945106"/>
                <a:chExt cx="2113200" cy="1087200"/>
              </a:xfrm>
            </xdr:grpSpPr>
            <xdr:grpSp>
              <xdr:nvGrpSpPr>
                <xdr:cNvPr id="56" name="Group 55">
                  <a:extLst>
                    <a:ext uri="{FF2B5EF4-FFF2-40B4-BE49-F238E27FC236}">
                      <a16:creationId xmlns:a16="http://schemas.microsoft.com/office/drawing/2014/main" id="{3435D018-AEA8-9239-0757-8C3B2355847C}"/>
                    </a:ext>
                  </a:extLst>
                </xdr:cNvPr>
                <xdr:cNvGrpSpPr/>
              </xdr:nvGrpSpPr>
              <xdr:grpSpPr>
                <a:xfrm>
                  <a:off x="250657" y="1945106"/>
                  <a:ext cx="2113200" cy="1087200"/>
                  <a:chOff x="230605" y="1905000"/>
                  <a:chExt cx="2113200" cy="1087200"/>
                </a:xfrm>
              </xdr:grpSpPr>
              <xdr:grpSp>
                <xdr:nvGrpSpPr>
                  <xdr:cNvPr id="55" name="Group 54">
                    <a:extLst>
                      <a:ext uri="{FF2B5EF4-FFF2-40B4-BE49-F238E27FC236}">
                        <a16:creationId xmlns:a16="http://schemas.microsoft.com/office/drawing/2014/main" id="{CAA99CFD-1D80-2825-79F9-93DAD24B1968}"/>
                      </a:ext>
                    </a:extLst>
                  </xdr:cNvPr>
                  <xdr:cNvGrpSpPr/>
                </xdr:nvGrpSpPr>
                <xdr:grpSpPr>
                  <a:xfrm>
                    <a:off x="230605" y="1905000"/>
                    <a:ext cx="2113200" cy="1087200"/>
                    <a:chOff x="230605" y="1905000"/>
                    <a:chExt cx="2113200" cy="1087200"/>
                  </a:xfrm>
                </xdr:grpSpPr>
                <xdr:sp macro="" textlink="">
                  <xdr:nvSpPr>
                    <xdr:cNvPr id="52" name="Rectangle: Rounded Corners 51">
                      <a:extLst>
                        <a:ext uri="{FF2B5EF4-FFF2-40B4-BE49-F238E27FC236}">
                          <a16:creationId xmlns:a16="http://schemas.microsoft.com/office/drawing/2014/main" id="{74F53546-4C88-2195-1E7D-79820BB3998F}"/>
                        </a:ext>
                      </a:extLst>
                    </xdr:cNvPr>
                    <xdr:cNvSpPr/>
                  </xdr:nvSpPr>
                  <xdr:spPr>
                    <a:xfrm>
                      <a:off x="230605" y="1905000"/>
                      <a:ext cx="2113200" cy="1087200"/>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a:p>
                      <a:pPr algn="ctr"/>
                      <a:endParaRPr lang="en-IN" sz="1400" b="1">
                        <a:latin typeface="Times New Roman" panose="02020603050405020304" pitchFamily="18" charset="0"/>
                        <a:cs typeface="Times New Roman" panose="02020603050405020304" pitchFamily="18" charset="0"/>
                      </a:endParaRPr>
                    </a:p>
                    <a:p>
                      <a:pPr algn="ctr"/>
                      <a:endParaRPr lang="en-IN" sz="1400" b="1">
                        <a:latin typeface="Times New Roman" panose="02020603050405020304" pitchFamily="18" charset="0"/>
                        <a:cs typeface="Times New Roman" panose="02020603050405020304" pitchFamily="18" charset="0"/>
                      </a:endParaRPr>
                    </a:p>
                    <a:p>
                      <a:pPr algn="ctr"/>
                      <a:endParaRPr lang="en-IN" sz="1400" b="1">
                        <a:latin typeface="Times New Roman" panose="02020603050405020304" pitchFamily="18" charset="0"/>
                        <a:cs typeface="Times New Roman" panose="02020603050405020304" pitchFamily="18" charset="0"/>
                      </a:endParaRPr>
                    </a:p>
                  </xdr:txBody>
                </xdr:sp>
                <xdr:sp macro="" textlink="">
                  <xdr:nvSpPr>
                    <xdr:cNvPr id="53" name="Rectangle 52">
                      <a:extLst>
                        <a:ext uri="{FF2B5EF4-FFF2-40B4-BE49-F238E27FC236}">
                          <a16:creationId xmlns:a16="http://schemas.microsoft.com/office/drawing/2014/main" id="{4B5B34D0-7662-9C55-6CF1-B9A5E3A268E9}"/>
                        </a:ext>
                      </a:extLst>
                    </xdr:cNvPr>
                    <xdr:cNvSpPr/>
                  </xdr:nvSpPr>
                  <xdr:spPr>
                    <a:xfrm>
                      <a:off x="381000" y="2025317"/>
                      <a:ext cx="170447" cy="150394"/>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grpSp>
              <xdr:sp macro="" textlink="">
                <xdr:nvSpPr>
                  <xdr:cNvPr id="54" name="Rectangle 53">
                    <a:extLst>
                      <a:ext uri="{FF2B5EF4-FFF2-40B4-BE49-F238E27FC236}">
                        <a16:creationId xmlns:a16="http://schemas.microsoft.com/office/drawing/2014/main" id="{1E55A865-FB72-417F-93EB-17E4BD0621E2}"/>
                      </a:ext>
                    </a:extLst>
                  </xdr:cNvPr>
                  <xdr:cNvSpPr/>
                </xdr:nvSpPr>
                <xdr:spPr>
                  <a:xfrm>
                    <a:off x="381000" y="2366211"/>
                    <a:ext cx="170447" cy="150394"/>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grpSp>
            <xdr:sp macro="" textlink="">
              <xdr:nvSpPr>
                <xdr:cNvPr id="70" name="Rectangle 69">
                  <a:extLst>
                    <a:ext uri="{FF2B5EF4-FFF2-40B4-BE49-F238E27FC236}">
                      <a16:creationId xmlns:a16="http://schemas.microsoft.com/office/drawing/2014/main" id="{3CF9B4E7-8B6A-00FC-3C83-5C188CFDAE01}"/>
                    </a:ext>
                  </a:extLst>
                </xdr:cNvPr>
                <xdr:cNvSpPr/>
              </xdr:nvSpPr>
              <xdr:spPr>
                <a:xfrm>
                  <a:off x="391026" y="2697079"/>
                  <a:ext cx="160421" cy="150394"/>
                </a:xfrm>
                <a:prstGeom prst="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grpSp>
          <xdr:sp macro="" textlink="">
            <xdr:nvSpPr>
              <xdr:cNvPr id="71" name="TextBox 70">
                <a:extLst>
                  <a:ext uri="{FF2B5EF4-FFF2-40B4-BE49-F238E27FC236}">
                    <a16:creationId xmlns:a16="http://schemas.microsoft.com/office/drawing/2014/main" id="{D55F7590-DF11-5563-B0A5-4559D8622A1B}"/>
                  </a:ext>
                </a:extLst>
              </xdr:cNvPr>
              <xdr:cNvSpPr txBox="1"/>
            </xdr:nvSpPr>
            <xdr:spPr>
              <a:xfrm>
                <a:off x="721895" y="2005263"/>
                <a:ext cx="1503947" cy="2606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COMPLETED</a:t>
                </a:r>
              </a:p>
            </xdr:txBody>
          </xdr:sp>
        </xdr:grpSp>
        <xdr:sp macro="" textlink="">
          <xdr:nvSpPr>
            <xdr:cNvPr id="72" name="TextBox 71">
              <a:extLst>
                <a:ext uri="{FF2B5EF4-FFF2-40B4-BE49-F238E27FC236}">
                  <a16:creationId xmlns:a16="http://schemas.microsoft.com/office/drawing/2014/main" id="{D128659E-E597-4771-B60D-6637B0326589}"/>
                </a:ext>
              </a:extLst>
            </xdr:cNvPr>
            <xdr:cNvSpPr txBox="1"/>
          </xdr:nvSpPr>
          <xdr:spPr>
            <a:xfrm>
              <a:off x="731921" y="2316079"/>
              <a:ext cx="1503947" cy="27070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ACTIVE</a:t>
              </a:r>
            </a:p>
          </xdr:txBody>
        </xdr:sp>
      </xdr:grpSp>
      <xdr:sp macro="" textlink="">
        <xdr:nvSpPr>
          <xdr:cNvPr id="73" name="TextBox 72">
            <a:extLst>
              <a:ext uri="{FF2B5EF4-FFF2-40B4-BE49-F238E27FC236}">
                <a16:creationId xmlns:a16="http://schemas.microsoft.com/office/drawing/2014/main" id="{165D8A4A-877E-4F71-85F1-12E3BDAC3C25}"/>
              </a:ext>
            </a:extLst>
          </xdr:cNvPr>
          <xdr:cNvSpPr txBox="1"/>
        </xdr:nvSpPr>
        <xdr:spPr>
          <a:xfrm>
            <a:off x="721895" y="2667000"/>
            <a:ext cx="1503947" cy="2606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INACTIVE</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M" refreshedDate="46238.924381712961" createdVersion="8" refreshedVersion="8" minRefreshableVersion="3" recordCount="100" xr:uid="{2ABA8EB5-A45E-41F2-8D2B-CD9EB542EBAB}">
  <cacheSource type="worksheet">
    <worksheetSource name="studentdata"/>
  </cacheSource>
  <cacheFields count="11">
    <cacheField name="StudentID" numFmtId="0">
      <sharedItems count="100">
        <s v="STU001"/>
        <s v="STU002"/>
        <s v="STU003"/>
        <s v="STU004"/>
        <s v="STU005"/>
        <s v="STU006"/>
        <s v="STU007"/>
        <s v="STU008"/>
        <s v="STU009"/>
        <s v="STU010"/>
        <s v="STU011"/>
        <s v="STU012"/>
        <s v="STU013"/>
        <s v="STU014"/>
        <s v="STU015"/>
        <s v="STU016"/>
        <s v="STU017"/>
        <s v="STU018"/>
        <s v="STU019"/>
        <s v="STU020"/>
        <s v="STU021"/>
        <s v="STU022"/>
        <s v="STU023"/>
        <s v="STU024"/>
        <s v="STU025"/>
        <s v="STU026"/>
        <s v="STU027"/>
        <s v="STU028"/>
        <s v="STU029"/>
        <s v="STU030"/>
        <s v="STU031"/>
        <s v="STU032"/>
        <s v="STU033"/>
        <s v="STU034"/>
        <s v="STU035"/>
        <s v="STU036"/>
        <s v="STU037"/>
        <s v="STU038"/>
        <s v="STU039"/>
        <s v="STU040"/>
        <s v="STU041"/>
        <s v="STU042"/>
        <s v="STU043"/>
        <s v="STU044"/>
        <s v="STU045"/>
        <s v="STU046"/>
        <s v="STU047"/>
        <s v="STU048"/>
        <s v="STU049"/>
        <s v="STU050"/>
        <s v="STU051"/>
        <s v="STU052"/>
        <s v="STU053"/>
        <s v="STU054"/>
        <s v="STU055"/>
        <s v="STU056"/>
        <s v="STU057"/>
        <s v="STU058"/>
        <s v="STU059"/>
        <s v="STU060"/>
        <s v="STU061"/>
        <s v="STU062"/>
        <s v="STU063"/>
        <s v="STU064"/>
        <s v="STU065"/>
        <s v="STU066"/>
        <s v="STU067"/>
        <s v="STU068"/>
        <s v="STU069"/>
        <s v="STU070"/>
        <s v="STU071"/>
        <s v="STU072"/>
        <s v="STU073"/>
        <s v="STU074"/>
        <s v="STU075"/>
        <s v="STU076"/>
        <s v="STU077"/>
        <s v="STU078"/>
        <s v="STU079"/>
        <s v="STU080"/>
        <s v="STU081"/>
        <s v="STU082"/>
        <s v="STU083"/>
        <s v="STU084"/>
        <s v="STU085"/>
        <s v="STU086"/>
        <s v="STU087"/>
        <s v="STU088"/>
        <s v="STU089"/>
        <s v="STU090"/>
        <s v="STU091"/>
        <s v="STU092"/>
        <s v="STU093"/>
        <s v="STU094"/>
        <s v="STU095"/>
        <s v="STU096"/>
        <s v="STU097"/>
        <s v="STU098"/>
        <s v="STU099"/>
        <s v="STU100"/>
      </sharedItems>
    </cacheField>
    <cacheField name="Name" numFmtId="0">
      <sharedItems/>
    </cacheField>
    <cacheField name="Department" numFmtId="0">
      <sharedItems count="5">
        <s v="Engineering"/>
        <s v="Science"/>
        <s v="Commerce"/>
        <s v="IT"/>
        <s v="Arts"/>
      </sharedItems>
    </cacheField>
    <cacheField name="Course" numFmtId="0">
      <sharedItems count="5">
        <s v="Python"/>
        <s v="WebDesign"/>
        <s v="DataAnalytics"/>
        <s v="Excel"/>
        <s v="AI_ML"/>
      </sharedItems>
    </cacheField>
    <cacheField name="Marks" numFmtId="0">
      <sharedItems containsSemiMixedTypes="0" containsString="0" containsNumber="1" minValue="40" maxValue="100" count="50">
        <n v="45"/>
        <n v="99"/>
        <n v="88"/>
        <n v="94"/>
        <n v="55"/>
        <n v="50"/>
        <n v="66"/>
        <n v="71"/>
        <n v="70"/>
        <n v="53"/>
        <n v="95"/>
        <n v="65"/>
        <n v="97"/>
        <n v="43"/>
        <n v="64"/>
        <n v="40"/>
        <n v="56"/>
        <n v="90"/>
        <n v="69"/>
        <n v="58"/>
        <n v="67"/>
        <n v="84"/>
        <n v="86"/>
        <n v="75"/>
        <n v="82"/>
        <n v="85"/>
        <n v="64.631578947368425"/>
        <n v="52"/>
        <n v="72.17647058823529"/>
        <n v="77"/>
        <n v="87"/>
        <n v="74"/>
        <n v="60"/>
        <n v="72"/>
        <n v="98"/>
        <n v="73"/>
        <n v="51"/>
        <n v="44"/>
        <n v="78"/>
        <n v="83"/>
        <n v="47"/>
        <n v="100"/>
        <n v="96"/>
        <n v="76"/>
        <n v="42"/>
        <n v="79"/>
        <n v="48"/>
        <n v="81"/>
        <n v="59"/>
        <n v="68.173913043478265"/>
      </sharedItems>
    </cacheField>
    <cacheField name="Attendance" numFmtId="0">
      <sharedItems containsSemiMixedTypes="0" containsString="0" containsNumber="1" minValue="50" maxValue="100" count="44">
        <n v="79"/>
        <n v="89"/>
        <n v="86"/>
        <n v="78.545454545454547"/>
        <n v="54"/>
        <n v="79.466666666666669"/>
        <n v="63"/>
        <n v="82"/>
        <n v="66"/>
        <n v="58"/>
        <n v="72"/>
        <n v="65"/>
        <n v="73"/>
        <n v="68"/>
        <n v="60"/>
        <n v="78"/>
        <n v="84"/>
        <n v="95"/>
        <n v="69"/>
        <n v="91"/>
        <n v="83"/>
        <n v="50"/>
        <n v="92"/>
        <n v="85"/>
        <n v="56"/>
        <n v="57"/>
        <n v="97"/>
        <n v="59"/>
        <n v="67"/>
        <n v="88"/>
        <n v="93"/>
        <n v="90"/>
        <n v="81"/>
        <n v="53"/>
        <n v="55"/>
        <n v="77"/>
        <n v="52"/>
        <n v="65.78947368421052"/>
        <n v="99"/>
        <n v="69.45"/>
        <n v="94"/>
        <n v="87"/>
        <n v="100"/>
        <n v="76"/>
      </sharedItems>
    </cacheField>
    <cacheField name="EnrollDate" numFmtId="164">
      <sharedItems containsSemiMixedTypes="0" containsNonDate="0" containsDate="1" containsString="0" minDate="2024-01-01T00:00:00" maxDate="2024-10-25T00:00:00" count="83">
        <d v="2024-03-24T00:00:00"/>
        <d v="2024-03-31T00:00:00"/>
        <d v="2024-07-30T00:00:00"/>
        <d v="2024-01-13T00:00:00"/>
        <d v="2024-04-01T00:00:00"/>
        <d v="2024-06-19T00:00:00"/>
        <d v="2024-07-29T00:00:00"/>
        <d v="2024-05-07T00:00:00"/>
        <d v="2024-05-16T00:00:00"/>
        <d v="2024-03-22T00:00:00"/>
        <d v="2024-02-25T00:00:00"/>
        <d v="2024-07-14T00:00:00"/>
        <d v="2024-01-20T00:00:00"/>
        <d v="2024-08-28T00:00:00"/>
        <d v="2024-04-23T00:00:00"/>
        <d v="2024-04-12T00:00:00"/>
        <d v="2024-08-23T00:00:00"/>
        <d v="2024-06-28T00:00:00"/>
        <d v="2024-06-05T00:00:00"/>
        <d v="2024-04-26T00:00:00"/>
        <d v="2024-04-24T00:00:00"/>
        <d v="2024-04-08T00:00:00"/>
        <d v="2024-07-23T00:00:00"/>
        <d v="2024-06-17T00:00:00"/>
        <d v="2024-05-22T00:00:00"/>
        <d v="2024-02-05T00:00:00"/>
        <d v="2024-09-17T00:00:00"/>
        <d v="2024-10-01T00:00:00"/>
        <d v="2024-06-18T00:00:00"/>
        <d v="2024-01-15T00:00:00"/>
        <d v="2024-02-29T00:00:00"/>
        <d v="2024-05-13T00:00:00"/>
        <d v="2024-10-24T00:00:00"/>
        <d v="2024-05-15T00:00:00"/>
        <d v="2024-08-10T00:00:00"/>
        <d v="2024-06-25T00:00:00"/>
        <d v="2024-06-09T00:00:00"/>
        <d v="2024-08-11T00:00:00"/>
        <d v="2024-09-18T00:00:00"/>
        <d v="2024-07-16T00:00:00"/>
        <d v="2024-10-22T00:00:00"/>
        <d v="2024-04-07T00:00:00"/>
        <d v="2024-05-10T00:00:00"/>
        <d v="2024-01-23T00:00:00"/>
        <d v="2024-01-01T00:00:00"/>
        <d v="2024-09-23T00:00:00"/>
        <d v="2024-10-02T00:00:00"/>
        <d v="2024-04-10T00:00:00"/>
        <d v="2024-07-05T00:00:00"/>
        <d v="2024-08-08T00:00:00"/>
        <d v="2024-03-04T00:00:00"/>
        <d v="2024-06-02T00:00:00"/>
        <d v="2024-09-16T00:00:00"/>
        <d v="2024-06-07T00:00:00"/>
        <d v="2024-07-28T00:00:00"/>
        <d v="2024-06-16T00:00:00"/>
        <d v="2024-07-25T00:00:00"/>
        <d v="2024-05-31T00:00:00"/>
        <d v="2024-10-10T00:00:00"/>
        <d v="2024-03-06T00:00:00"/>
        <d v="2024-08-03T00:00:00"/>
        <d v="2024-07-13T00:00:00"/>
        <d v="2024-03-30T00:00:00"/>
        <d v="2024-10-18T00:00:00"/>
        <d v="2024-06-03T00:00:00"/>
        <d v="2024-07-26T00:00:00"/>
        <d v="2024-10-07T00:00:00"/>
        <d v="2024-06-04T00:00:00"/>
        <d v="2024-05-26T00:00:00"/>
        <d v="2024-04-17T00:00:00"/>
        <d v="2024-10-23T00:00:00"/>
        <d v="2024-06-13T00:00:00"/>
        <d v="2024-08-26T00:00:00"/>
        <d v="2024-08-14T00:00:00"/>
        <d v="2024-04-19T00:00:00"/>
        <d v="2024-08-30T00:00:00"/>
        <d v="2024-03-27T00:00:00"/>
        <d v="2024-02-13T00:00:00"/>
        <d v="2024-05-25T00:00:00"/>
        <d v="2024-09-20T00:00:00"/>
        <d v="2024-06-20T00:00:00"/>
        <d v="2024-02-17T00:00:00"/>
        <d v="2024-04-30T00:00:00"/>
      </sharedItems>
      <fieldGroup par="10"/>
    </cacheField>
    <cacheField name="City" numFmtId="0">
      <sharedItems count="5">
        <s v="Delhi"/>
        <s v="Chennai"/>
        <s v="Kochi"/>
        <s v="Bangalore"/>
        <s v="Mumbai"/>
      </sharedItems>
    </cacheField>
    <cacheField name="Trainer" numFmtId="0">
      <sharedItems/>
    </cacheField>
    <cacheField name="Status" numFmtId="0">
      <sharedItems count="3">
        <s v="Inactive"/>
        <s v="Completed"/>
        <s v="Active"/>
      </sharedItems>
    </cacheField>
    <cacheField name="Months (EnrollDate)" numFmtId="0" databaseField="0">
      <fieldGroup base="6">
        <rangePr groupBy="months" startDate="2024-01-01T00:00:00" endDate="2024-10-25T00:00:00"/>
        <groupItems count="14">
          <s v="&lt;01-01-2024"/>
          <s v="Jan"/>
          <s v="Feb"/>
          <s v="Mar"/>
          <s v="Apr"/>
          <s v="May"/>
          <s v="Jun"/>
          <s v="Jul"/>
          <s v="Aug"/>
          <s v="Sep"/>
          <s v="Oct"/>
          <s v="Nov"/>
          <s v="Dec"/>
          <s v="&gt;25-10-2024"/>
        </groupItems>
      </fieldGroup>
    </cacheField>
  </cacheFields>
  <extLst>
    <ext xmlns:x14="http://schemas.microsoft.com/office/spreadsheetml/2009/9/main" uri="{725AE2AE-9491-48be-B2B4-4EB974FC3084}">
      <x14:pivotCacheDefinition pivotCacheId="869761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tudent_1"/>
    <x v="0"/>
    <x v="0"/>
    <x v="0"/>
    <x v="0"/>
    <x v="0"/>
    <x v="0"/>
    <s v="Rahul"/>
    <x v="0"/>
  </r>
  <r>
    <x v="1"/>
    <s v="Student_2"/>
    <x v="1"/>
    <x v="1"/>
    <x v="1"/>
    <x v="1"/>
    <x v="1"/>
    <x v="1"/>
    <s v="Varun"/>
    <x v="0"/>
  </r>
  <r>
    <x v="2"/>
    <s v="Student_3"/>
    <x v="2"/>
    <x v="1"/>
    <x v="2"/>
    <x v="2"/>
    <x v="2"/>
    <x v="2"/>
    <s v="Rahul"/>
    <x v="0"/>
  </r>
  <r>
    <x v="3"/>
    <s v="Student_4"/>
    <x v="2"/>
    <x v="2"/>
    <x v="3"/>
    <x v="3"/>
    <x v="3"/>
    <x v="2"/>
    <s v="Meera"/>
    <x v="0"/>
  </r>
  <r>
    <x v="4"/>
    <s v="Student_5"/>
    <x v="0"/>
    <x v="3"/>
    <x v="4"/>
    <x v="4"/>
    <x v="4"/>
    <x v="1"/>
    <s v="Varun"/>
    <x v="1"/>
  </r>
  <r>
    <x v="5"/>
    <s v="Student_6"/>
    <x v="0"/>
    <x v="1"/>
    <x v="5"/>
    <x v="5"/>
    <x v="5"/>
    <x v="3"/>
    <s v="Athul"/>
    <x v="2"/>
  </r>
  <r>
    <x v="6"/>
    <s v="Student_7"/>
    <x v="3"/>
    <x v="0"/>
    <x v="6"/>
    <x v="6"/>
    <x v="6"/>
    <x v="4"/>
    <s v="Athul"/>
    <x v="1"/>
  </r>
  <r>
    <x v="7"/>
    <s v="Student_8"/>
    <x v="1"/>
    <x v="2"/>
    <x v="7"/>
    <x v="7"/>
    <x v="7"/>
    <x v="2"/>
    <s v="Neha"/>
    <x v="2"/>
  </r>
  <r>
    <x v="8"/>
    <s v="Student_9"/>
    <x v="4"/>
    <x v="2"/>
    <x v="8"/>
    <x v="8"/>
    <x v="8"/>
    <x v="3"/>
    <s v="Meera"/>
    <x v="2"/>
  </r>
  <r>
    <x v="9"/>
    <s v="Student_10"/>
    <x v="1"/>
    <x v="4"/>
    <x v="9"/>
    <x v="9"/>
    <x v="9"/>
    <x v="0"/>
    <s v="Varun"/>
    <x v="2"/>
  </r>
  <r>
    <x v="10"/>
    <s v="Student_11"/>
    <x v="2"/>
    <x v="4"/>
    <x v="10"/>
    <x v="10"/>
    <x v="10"/>
    <x v="2"/>
    <s v="Rahul"/>
    <x v="2"/>
  </r>
  <r>
    <x v="11"/>
    <s v="Student_12"/>
    <x v="4"/>
    <x v="3"/>
    <x v="11"/>
    <x v="4"/>
    <x v="11"/>
    <x v="0"/>
    <s v="Rahul"/>
    <x v="2"/>
  </r>
  <r>
    <x v="12"/>
    <s v="Student_13"/>
    <x v="1"/>
    <x v="2"/>
    <x v="12"/>
    <x v="11"/>
    <x v="12"/>
    <x v="3"/>
    <s v="Rahul"/>
    <x v="0"/>
  </r>
  <r>
    <x v="13"/>
    <s v="Student_14"/>
    <x v="1"/>
    <x v="0"/>
    <x v="13"/>
    <x v="12"/>
    <x v="13"/>
    <x v="1"/>
    <s v="Rahul"/>
    <x v="1"/>
  </r>
  <r>
    <x v="14"/>
    <s v="Student_15"/>
    <x v="0"/>
    <x v="4"/>
    <x v="5"/>
    <x v="13"/>
    <x v="14"/>
    <x v="0"/>
    <s v="Meera"/>
    <x v="2"/>
  </r>
  <r>
    <x v="15"/>
    <s v="Student_16"/>
    <x v="4"/>
    <x v="4"/>
    <x v="14"/>
    <x v="14"/>
    <x v="15"/>
    <x v="2"/>
    <s v="Athul"/>
    <x v="2"/>
  </r>
  <r>
    <x v="16"/>
    <s v="Student_17"/>
    <x v="2"/>
    <x v="3"/>
    <x v="15"/>
    <x v="15"/>
    <x v="16"/>
    <x v="0"/>
    <s v="Athul"/>
    <x v="0"/>
  </r>
  <r>
    <x v="17"/>
    <s v="Student_18"/>
    <x v="4"/>
    <x v="1"/>
    <x v="14"/>
    <x v="16"/>
    <x v="17"/>
    <x v="0"/>
    <s v="Athul"/>
    <x v="1"/>
  </r>
  <r>
    <x v="18"/>
    <s v="Student_19"/>
    <x v="3"/>
    <x v="1"/>
    <x v="16"/>
    <x v="17"/>
    <x v="18"/>
    <x v="2"/>
    <s v="Athul"/>
    <x v="1"/>
  </r>
  <r>
    <x v="19"/>
    <s v="Student_20"/>
    <x v="1"/>
    <x v="0"/>
    <x v="1"/>
    <x v="18"/>
    <x v="19"/>
    <x v="3"/>
    <s v="Rahul"/>
    <x v="0"/>
  </r>
  <r>
    <x v="20"/>
    <s v="Student_21"/>
    <x v="3"/>
    <x v="1"/>
    <x v="17"/>
    <x v="1"/>
    <x v="20"/>
    <x v="2"/>
    <s v="Neha"/>
    <x v="2"/>
  </r>
  <r>
    <x v="21"/>
    <s v="Student_22"/>
    <x v="0"/>
    <x v="2"/>
    <x v="17"/>
    <x v="19"/>
    <x v="3"/>
    <x v="4"/>
    <s v="Varun"/>
    <x v="2"/>
  </r>
  <r>
    <x v="22"/>
    <s v="Student_23"/>
    <x v="2"/>
    <x v="1"/>
    <x v="18"/>
    <x v="20"/>
    <x v="21"/>
    <x v="3"/>
    <s v="Rahul"/>
    <x v="2"/>
  </r>
  <r>
    <x v="23"/>
    <s v="Student_24"/>
    <x v="1"/>
    <x v="2"/>
    <x v="19"/>
    <x v="21"/>
    <x v="22"/>
    <x v="2"/>
    <s v="Rahul"/>
    <x v="2"/>
  </r>
  <r>
    <x v="24"/>
    <s v="Student_25"/>
    <x v="3"/>
    <x v="0"/>
    <x v="20"/>
    <x v="22"/>
    <x v="23"/>
    <x v="1"/>
    <s v="Athul"/>
    <x v="2"/>
  </r>
  <r>
    <x v="25"/>
    <s v="Student_26"/>
    <x v="2"/>
    <x v="3"/>
    <x v="21"/>
    <x v="23"/>
    <x v="24"/>
    <x v="4"/>
    <s v="Rahul"/>
    <x v="2"/>
  </r>
  <r>
    <x v="26"/>
    <s v="Student_27"/>
    <x v="1"/>
    <x v="0"/>
    <x v="22"/>
    <x v="18"/>
    <x v="25"/>
    <x v="3"/>
    <s v="Rahul"/>
    <x v="0"/>
  </r>
  <r>
    <x v="27"/>
    <s v="Student_28"/>
    <x v="1"/>
    <x v="4"/>
    <x v="17"/>
    <x v="22"/>
    <x v="24"/>
    <x v="4"/>
    <s v="Athul"/>
    <x v="2"/>
  </r>
  <r>
    <x v="28"/>
    <s v="Student_29"/>
    <x v="3"/>
    <x v="4"/>
    <x v="23"/>
    <x v="24"/>
    <x v="17"/>
    <x v="0"/>
    <s v="Meera"/>
    <x v="1"/>
  </r>
  <r>
    <x v="29"/>
    <s v="Student_30"/>
    <x v="0"/>
    <x v="4"/>
    <x v="24"/>
    <x v="9"/>
    <x v="26"/>
    <x v="4"/>
    <s v="Meera"/>
    <x v="0"/>
  </r>
  <r>
    <x v="30"/>
    <s v="Student_31"/>
    <x v="3"/>
    <x v="3"/>
    <x v="25"/>
    <x v="8"/>
    <x v="22"/>
    <x v="3"/>
    <s v="Athul"/>
    <x v="1"/>
  </r>
  <r>
    <x v="31"/>
    <s v="Student_32"/>
    <x v="0"/>
    <x v="0"/>
    <x v="7"/>
    <x v="25"/>
    <x v="27"/>
    <x v="4"/>
    <s v="Athul"/>
    <x v="2"/>
  </r>
  <r>
    <x v="32"/>
    <s v="Student_33"/>
    <x v="4"/>
    <x v="4"/>
    <x v="26"/>
    <x v="24"/>
    <x v="28"/>
    <x v="4"/>
    <s v="Varun"/>
    <x v="1"/>
  </r>
  <r>
    <x v="33"/>
    <s v="Student_34"/>
    <x v="3"/>
    <x v="4"/>
    <x v="27"/>
    <x v="26"/>
    <x v="29"/>
    <x v="0"/>
    <s v="Rahul"/>
    <x v="0"/>
  </r>
  <r>
    <x v="34"/>
    <s v="Student_35"/>
    <x v="2"/>
    <x v="0"/>
    <x v="28"/>
    <x v="23"/>
    <x v="30"/>
    <x v="0"/>
    <s v="Meera"/>
    <x v="1"/>
  </r>
  <r>
    <x v="35"/>
    <s v="Student_36"/>
    <x v="4"/>
    <x v="2"/>
    <x v="9"/>
    <x v="27"/>
    <x v="31"/>
    <x v="3"/>
    <s v="Varun"/>
    <x v="0"/>
  </r>
  <r>
    <x v="36"/>
    <s v="Student_37"/>
    <x v="3"/>
    <x v="0"/>
    <x v="13"/>
    <x v="28"/>
    <x v="4"/>
    <x v="4"/>
    <s v="Rahul"/>
    <x v="0"/>
  </r>
  <r>
    <x v="37"/>
    <s v="Student_38"/>
    <x v="0"/>
    <x v="1"/>
    <x v="29"/>
    <x v="13"/>
    <x v="32"/>
    <x v="3"/>
    <s v="Athul"/>
    <x v="0"/>
  </r>
  <r>
    <x v="38"/>
    <s v="Student_39"/>
    <x v="3"/>
    <x v="1"/>
    <x v="30"/>
    <x v="29"/>
    <x v="33"/>
    <x v="4"/>
    <s v="Rahul"/>
    <x v="2"/>
  </r>
  <r>
    <x v="39"/>
    <s v="Student_40"/>
    <x v="4"/>
    <x v="0"/>
    <x v="31"/>
    <x v="6"/>
    <x v="12"/>
    <x v="0"/>
    <s v="Rahul"/>
    <x v="2"/>
  </r>
  <r>
    <x v="40"/>
    <s v="Student_41"/>
    <x v="0"/>
    <x v="2"/>
    <x v="13"/>
    <x v="17"/>
    <x v="10"/>
    <x v="3"/>
    <s v="Athul"/>
    <x v="1"/>
  </r>
  <r>
    <x v="41"/>
    <s v="Student_42"/>
    <x v="1"/>
    <x v="2"/>
    <x v="30"/>
    <x v="3"/>
    <x v="34"/>
    <x v="1"/>
    <s v="Rahul"/>
    <x v="0"/>
  </r>
  <r>
    <x v="42"/>
    <s v="Student_43"/>
    <x v="2"/>
    <x v="3"/>
    <x v="32"/>
    <x v="6"/>
    <x v="35"/>
    <x v="1"/>
    <s v="Meera"/>
    <x v="1"/>
  </r>
  <r>
    <x v="43"/>
    <s v="Student_44"/>
    <x v="2"/>
    <x v="4"/>
    <x v="13"/>
    <x v="30"/>
    <x v="36"/>
    <x v="0"/>
    <s v="Rahul"/>
    <x v="0"/>
  </r>
  <r>
    <x v="44"/>
    <s v="Student_45"/>
    <x v="1"/>
    <x v="2"/>
    <x v="13"/>
    <x v="31"/>
    <x v="37"/>
    <x v="0"/>
    <s v="Athul"/>
    <x v="2"/>
  </r>
  <r>
    <x v="45"/>
    <s v="Student_46"/>
    <x v="2"/>
    <x v="3"/>
    <x v="29"/>
    <x v="8"/>
    <x v="38"/>
    <x v="3"/>
    <s v="Meera"/>
    <x v="0"/>
  </r>
  <r>
    <x v="46"/>
    <s v="Student_47"/>
    <x v="1"/>
    <x v="2"/>
    <x v="8"/>
    <x v="7"/>
    <x v="30"/>
    <x v="0"/>
    <s v="Rahul"/>
    <x v="2"/>
  </r>
  <r>
    <x v="47"/>
    <s v="Student_48"/>
    <x v="2"/>
    <x v="1"/>
    <x v="33"/>
    <x v="32"/>
    <x v="39"/>
    <x v="1"/>
    <s v="Varun"/>
    <x v="2"/>
  </r>
  <r>
    <x v="48"/>
    <s v="Student_49"/>
    <x v="0"/>
    <x v="3"/>
    <x v="34"/>
    <x v="8"/>
    <x v="40"/>
    <x v="2"/>
    <s v="Neha"/>
    <x v="0"/>
  </r>
  <r>
    <x v="49"/>
    <s v="Student_50"/>
    <x v="2"/>
    <x v="3"/>
    <x v="3"/>
    <x v="33"/>
    <x v="41"/>
    <x v="1"/>
    <s v="Varun"/>
    <x v="2"/>
  </r>
  <r>
    <x v="50"/>
    <s v="Student_51"/>
    <x v="2"/>
    <x v="4"/>
    <x v="35"/>
    <x v="34"/>
    <x v="42"/>
    <x v="1"/>
    <s v="Neha"/>
    <x v="1"/>
  </r>
  <r>
    <x v="51"/>
    <s v="Student_52"/>
    <x v="2"/>
    <x v="1"/>
    <x v="5"/>
    <x v="31"/>
    <x v="43"/>
    <x v="1"/>
    <s v="Varun"/>
    <x v="2"/>
  </r>
  <r>
    <x v="52"/>
    <s v="Student_53"/>
    <x v="2"/>
    <x v="2"/>
    <x v="13"/>
    <x v="35"/>
    <x v="37"/>
    <x v="3"/>
    <s v="Meera"/>
    <x v="1"/>
  </r>
  <r>
    <x v="53"/>
    <s v="Student_54"/>
    <x v="3"/>
    <x v="2"/>
    <x v="33"/>
    <x v="28"/>
    <x v="44"/>
    <x v="2"/>
    <s v="Meera"/>
    <x v="0"/>
  </r>
  <r>
    <x v="54"/>
    <s v="Student_55"/>
    <x v="0"/>
    <x v="0"/>
    <x v="0"/>
    <x v="36"/>
    <x v="45"/>
    <x v="1"/>
    <s v="Athul"/>
    <x v="1"/>
  </r>
  <r>
    <x v="55"/>
    <s v="Student_56"/>
    <x v="0"/>
    <x v="3"/>
    <x v="3"/>
    <x v="21"/>
    <x v="46"/>
    <x v="0"/>
    <s v="Meera"/>
    <x v="2"/>
  </r>
  <r>
    <x v="56"/>
    <s v="Student_57"/>
    <x v="1"/>
    <x v="3"/>
    <x v="36"/>
    <x v="37"/>
    <x v="47"/>
    <x v="0"/>
    <s v="Rahul"/>
    <x v="0"/>
  </r>
  <r>
    <x v="57"/>
    <s v="Student_58"/>
    <x v="0"/>
    <x v="2"/>
    <x v="37"/>
    <x v="38"/>
    <x v="48"/>
    <x v="2"/>
    <s v="Meera"/>
    <x v="0"/>
  </r>
  <r>
    <x v="58"/>
    <s v="Student_59"/>
    <x v="1"/>
    <x v="3"/>
    <x v="38"/>
    <x v="9"/>
    <x v="49"/>
    <x v="3"/>
    <s v="Rahul"/>
    <x v="0"/>
  </r>
  <r>
    <x v="59"/>
    <s v="Student_60"/>
    <x v="2"/>
    <x v="3"/>
    <x v="37"/>
    <x v="31"/>
    <x v="25"/>
    <x v="3"/>
    <s v="Neha"/>
    <x v="1"/>
  </r>
  <r>
    <x v="60"/>
    <s v="Student_61"/>
    <x v="3"/>
    <x v="0"/>
    <x v="39"/>
    <x v="8"/>
    <x v="28"/>
    <x v="3"/>
    <s v="Rahul"/>
    <x v="1"/>
  </r>
  <r>
    <x v="61"/>
    <s v="Student_62"/>
    <x v="0"/>
    <x v="1"/>
    <x v="10"/>
    <x v="14"/>
    <x v="36"/>
    <x v="1"/>
    <s v="Meera"/>
    <x v="2"/>
  </r>
  <r>
    <x v="62"/>
    <s v="Student_63"/>
    <x v="4"/>
    <x v="3"/>
    <x v="4"/>
    <x v="26"/>
    <x v="50"/>
    <x v="3"/>
    <s v="Varun"/>
    <x v="0"/>
  </r>
  <r>
    <x v="63"/>
    <s v="Student_64"/>
    <x v="0"/>
    <x v="4"/>
    <x v="26"/>
    <x v="15"/>
    <x v="51"/>
    <x v="4"/>
    <s v="Meera"/>
    <x v="0"/>
  </r>
  <r>
    <x v="64"/>
    <s v="Student_65"/>
    <x v="3"/>
    <x v="4"/>
    <x v="40"/>
    <x v="39"/>
    <x v="52"/>
    <x v="3"/>
    <s v="Neha"/>
    <x v="1"/>
  </r>
  <r>
    <x v="65"/>
    <s v="Student_66"/>
    <x v="0"/>
    <x v="0"/>
    <x v="41"/>
    <x v="17"/>
    <x v="53"/>
    <x v="0"/>
    <s v="Neha"/>
    <x v="1"/>
  </r>
  <r>
    <x v="66"/>
    <s v="Student_67"/>
    <x v="2"/>
    <x v="3"/>
    <x v="42"/>
    <x v="35"/>
    <x v="54"/>
    <x v="4"/>
    <s v="Neha"/>
    <x v="2"/>
  </r>
  <r>
    <x v="67"/>
    <s v="Student_68"/>
    <x v="1"/>
    <x v="1"/>
    <x v="43"/>
    <x v="23"/>
    <x v="55"/>
    <x v="0"/>
    <s v="Rahul"/>
    <x v="2"/>
  </r>
  <r>
    <x v="68"/>
    <s v="Student_69"/>
    <x v="2"/>
    <x v="3"/>
    <x v="4"/>
    <x v="21"/>
    <x v="56"/>
    <x v="1"/>
    <s v="Varun"/>
    <x v="0"/>
  </r>
  <r>
    <x v="69"/>
    <s v="Student_70"/>
    <x v="2"/>
    <x v="0"/>
    <x v="29"/>
    <x v="25"/>
    <x v="57"/>
    <x v="2"/>
    <s v="Meera"/>
    <x v="2"/>
  </r>
  <r>
    <x v="70"/>
    <s v="Student_71"/>
    <x v="2"/>
    <x v="4"/>
    <x v="38"/>
    <x v="4"/>
    <x v="58"/>
    <x v="1"/>
    <s v="Meera"/>
    <x v="2"/>
  </r>
  <r>
    <x v="71"/>
    <s v="Student_72"/>
    <x v="3"/>
    <x v="2"/>
    <x v="44"/>
    <x v="40"/>
    <x v="59"/>
    <x v="0"/>
    <s v="Athul"/>
    <x v="2"/>
  </r>
  <r>
    <x v="72"/>
    <s v="Student_73"/>
    <x v="3"/>
    <x v="2"/>
    <x v="45"/>
    <x v="27"/>
    <x v="21"/>
    <x v="4"/>
    <s v="Meera"/>
    <x v="2"/>
  </r>
  <r>
    <x v="73"/>
    <s v="Student_74"/>
    <x v="2"/>
    <x v="1"/>
    <x v="0"/>
    <x v="16"/>
    <x v="60"/>
    <x v="4"/>
    <s v="Varun"/>
    <x v="0"/>
  </r>
  <r>
    <x v="74"/>
    <s v="Student_75"/>
    <x v="0"/>
    <x v="4"/>
    <x v="6"/>
    <x v="36"/>
    <x v="61"/>
    <x v="3"/>
    <s v="Neha"/>
    <x v="0"/>
  </r>
  <r>
    <x v="75"/>
    <s v="Student_76"/>
    <x v="2"/>
    <x v="0"/>
    <x v="24"/>
    <x v="12"/>
    <x v="62"/>
    <x v="0"/>
    <s v="Rahul"/>
    <x v="2"/>
  </r>
  <r>
    <x v="76"/>
    <s v="Student_77"/>
    <x v="3"/>
    <x v="0"/>
    <x v="28"/>
    <x v="41"/>
    <x v="63"/>
    <x v="3"/>
    <s v="Varun"/>
    <x v="2"/>
  </r>
  <r>
    <x v="77"/>
    <s v="Student_78"/>
    <x v="4"/>
    <x v="2"/>
    <x v="43"/>
    <x v="23"/>
    <x v="64"/>
    <x v="0"/>
    <s v="Athul"/>
    <x v="1"/>
  </r>
  <r>
    <x v="78"/>
    <s v="Student_79"/>
    <x v="2"/>
    <x v="2"/>
    <x v="35"/>
    <x v="27"/>
    <x v="65"/>
    <x v="1"/>
    <s v="Meera"/>
    <x v="1"/>
  </r>
  <r>
    <x v="79"/>
    <s v="Student_80"/>
    <x v="2"/>
    <x v="2"/>
    <x v="32"/>
    <x v="35"/>
    <x v="66"/>
    <x v="1"/>
    <s v="Athul"/>
    <x v="0"/>
  </r>
  <r>
    <x v="80"/>
    <s v="Student_81"/>
    <x v="4"/>
    <x v="1"/>
    <x v="1"/>
    <x v="9"/>
    <x v="44"/>
    <x v="3"/>
    <s v="Varun"/>
    <x v="1"/>
  </r>
  <r>
    <x v="81"/>
    <s v="Student_82"/>
    <x v="2"/>
    <x v="1"/>
    <x v="16"/>
    <x v="36"/>
    <x v="67"/>
    <x v="2"/>
    <s v="Rahul"/>
    <x v="1"/>
  </r>
  <r>
    <x v="82"/>
    <s v="Student_83"/>
    <x v="4"/>
    <x v="4"/>
    <x v="9"/>
    <x v="18"/>
    <x v="68"/>
    <x v="1"/>
    <s v="Varun"/>
    <x v="1"/>
  </r>
  <r>
    <x v="83"/>
    <s v="Student_84"/>
    <x v="3"/>
    <x v="0"/>
    <x v="24"/>
    <x v="12"/>
    <x v="69"/>
    <x v="0"/>
    <s v="Meera"/>
    <x v="0"/>
  </r>
  <r>
    <x v="84"/>
    <s v="Student_85"/>
    <x v="2"/>
    <x v="2"/>
    <x v="25"/>
    <x v="42"/>
    <x v="49"/>
    <x v="3"/>
    <s v="Rahul"/>
    <x v="0"/>
  </r>
  <r>
    <x v="85"/>
    <s v="Student_86"/>
    <x v="2"/>
    <x v="3"/>
    <x v="32"/>
    <x v="36"/>
    <x v="70"/>
    <x v="2"/>
    <s v="Varun"/>
    <x v="1"/>
  </r>
  <r>
    <x v="86"/>
    <s v="Student_87"/>
    <x v="3"/>
    <x v="4"/>
    <x v="4"/>
    <x v="10"/>
    <x v="71"/>
    <x v="3"/>
    <s v="Athul"/>
    <x v="0"/>
  </r>
  <r>
    <x v="87"/>
    <s v="Student_88"/>
    <x v="4"/>
    <x v="3"/>
    <x v="16"/>
    <x v="6"/>
    <x v="72"/>
    <x v="2"/>
    <s v="Meera"/>
    <x v="0"/>
  </r>
  <r>
    <x v="88"/>
    <s v="Student_89"/>
    <x v="1"/>
    <x v="0"/>
    <x v="11"/>
    <x v="30"/>
    <x v="73"/>
    <x v="0"/>
    <s v="Athul"/>
    <x v="0"/>
  </r>
  <r>
    <x v="89"/>
    <s v="Student_90"/>
    <x v="1"/>
    <x v="2"/>
    <x v="46"/>
    <x v="11"/>
    <x v="73"/>
    <x v="2"/>
    <s v="Rahul"/>
    <x v="1"/>
  </r>
  <r>
    <x v="90"/>
    <s v="Student_91"/>
    <x v="1"/>
    <x v="2"/>
    <x v="24"/>
    <x v="22"/>
    <x v="74"/>
    <x v="1"/>
    <s v="Neha"/>
    <x v="1"/>
  </r>
  <r>
    <x v="91"/>
    <s v="Student_92"/>
    <x v="0"/>
    <x v="3"/>
    <x v="47"/>
    <x v="24"/>
    <x v="38"/>
    <x v="3"/>
    <s v="Rahul"/>
    <x v="2"/>
  </r>
  <r>
    <x v="92"/>
    <s v="Student_93"/>
    <x v="0"/>
    <x v="3"/>
    <x v="48"/>
    <x v="10"/>
    <x v="75"/>
    <x v="2"/>
    <s v="Rahul"/>
    <x v="2"/>
  </r>
  <r>
    <x v="93"/>
    <s v="Student_94"/>
    <x v="4"/>
    <x v="4"/>
    <x v="18"/>
    <x v="38"/>
    <x v="76"/>
    <x v="0"/>
    <s v="Rahul"/>
    <x v="2"/>
  </r>
  <r>
    <x v="94"/>
    <s v="Student_95"/>
    <x v="1"/>
    <x v="2"/>
    <x v="49"/>
    <x v="23"/>
    <x v="77"/>
    <x v="2"/>
    <s v="Neha"/>
    <x v="1"/>
  </r>
  <r>
    <x v="95"/>
    <s v="Student_96"/>
    <x v="2"/>
    <x v="4"/>
    <x v="1"/>
    <x v="43"/>
    <x v="78"/>
    <x v="3"/>
    <s v="Rahul"/>
    <x v="0"/>
  </r>
  <r>
    <x v="96"/>
    <s v="Student_97"/>
    <x v="3"/>
    <x v="2"/>
    <x v="2"/>
    <x v="1"/>
    <x v="79"/>
    <x v="2"/>
    <s v="Athul"/>
    <x v="2"/>
  </r>
  <r>
    <x v="97"/>
    <s v="Student_98"/>
    <x v="4"/>
    <x v="0"/>
    <x v="1"/>
    <x v="26"/>
    <x v="80"/>
    <x v="1"/>
    <s v="Varun"/>
    <x v="2"/>
  </r>
  <r>
    <x v="98"/>
    <s v="Student_99"/>
    <x v="3"/>
    <x v="4"/>
    <x v="37"/>
    <x v="27"/>
    <x v="81"/>
    <x v="1"/>
    <s v="Rahul"/>
    <x v="1"/>
  </r>
  <r>
    <x v="99"/>
    <s v="Student_100"/>
    <x v="3"/>
    <x v="4"/>
    <x v="15"/>
    <x v="11"/>
    <x v="82"/>
    <x v="1"/>
    <s v="Varu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D81773-2018-4883-A540-A1B60FA2B51D}" name="Pivot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id">
  <location ref="G2:H103" firstHeaderRow="1" firstDataRow="1" firstDataCol="1"/>
  <pivotFields count="11">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6">
        <item x="4"/>
        <item x="2"/>
        <item x="3"/>
        <item x="0"/>
        <item x="1"/>
        <item t="default"/>
      </items>
    </pivotField>
    <pivotField showAll="0"/>
    <pivotField dataField="1" showAll="0"/>
    <pivotField numFmtId="164" showAll="0">
      <items count="84">
        <item x="44"/>
        <item x="3"/>
        <item x="29"/>
        <item x="12"/>
        <item x="43"/>
        <item x="25"/>
        <item x="77"/>
        <item x="81"/>
        <item x="10"/>
        <item x="30"/>
        <item x="50"/>
        <item x="59"/>
        <item x="9"/>
        <item x="0"/>
        <item x="76"/>
        <item x="62"/>
        <item x="1"/>
        <item x="4"/>
        <item x="41"/>
        <item x="21"/>
        <item x="47"/>
        <item x="15"/>
        <item x="69"/>
        <item x="74"/>
        <item x="14"/>
        <item x="20"/>
        <item x="19"/>
        <item x="82"/>
        <item x="7"/>
        <item x="42"/>
        <item x="31"/>
        <item x="33"/>
        <item x="8"/>
        <item x="24"/>
        <item x="78"/>
        <item x="68"/>
        <item x="57"/>
        <item x="51"/>
        <item x="64"/>
        <item x="67"/>
        <item x="18"/>
        <item x="53"/>
        <item x="36"/>
        <item x="71"/>
        <item x="55"/>
        <item x="23"/>
        <item x="28"/>
        <item x="5"/>
        <item x="80"/>
        <item x="35"/>
        <item x="17"/>
        <item x="48"/>
        <item x="61"/>
        <item x="11"/>
        <item x="39"/>
        <item x="22"/>
        <item x="56"/>
        <item x="65"/>
        <item x="54"/>
        <item x="6"/>
        <item x="2"/>
        <item x="60"/>
        <item x="49"/>
        <item x="34"/>
        <item x="37"/>
        <item x="73"/>
        <item x="16"/>
        <item x="72"/>
        <item x="13"/>
        <item x="75"/>
        <item x="52"/>
        <item x="26"/>
        <item x="38"/>
        <item x="79"/>
        <item x="45"/>
        <item x="27"/>
        <item x="46"/>
        <item x="66"/>
        <item x="58"/>
        <item x="63"/>
        <item x="40"/>
        <item x="70"/>
        <item x="32"/>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Average of Attendance" fld="5" subtotal="average" baseField="0" baseItem="0"/>
  </dataFields>
  <formats count="5">
    <format dxfId="4">
      <pivotArea grandRow="1" outline="0" collapsedLevelsAreSubtotals="1" fieldPosition="0"/>
    </format>
    <format dxfId="3">
      <pivotArea collapsedLevelsAreSubtotals="1" fieldPosition="0">
        <references count="1">
          <reference field="0" count="1">
            <x v="56"/>
          </reference>
        </references>
      </pivotArea>
    </format>
    <format dxfId="2">
      <pivotArea collapsedLevelsAreSubtotals="1" fieldPosition="0">
        <references count="1">
          <reference field="0" count="1">
            <x v="41"/>
          </reference>
        </references>
      </pivotArea>
    </format>
    <format dxfId="1">
      <pivotArea collapsedLevelsAreSubtotals="1" fieldPosition="0">
        <references count="1">
          <reference field="0" count="1">
            <x v="5"/>
          </reference>
        </references>
      </pivotArea>
    </format>
    <format dxfId="0">
      <pivotArea collapsedLevelsAreSubtotals="1" fieldPosition="0">
        <references count="1">
          <reference field="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93A50-A8F6-4CF4-990E-0D4CBD34063D}" name="Pivot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id">
  <location ref="D2:E103" firstHeaderRow="1" firstDataRow="1" firstDataCol="1"/>
  <pivotFields count="11">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6">
        <item x="4"/>
        <item x="2"/>
        <item x="3"/>
        <item x="0"/>
        <item x="1"/>
        <item t="default"/>
      </items>
    </pivotField>
    <pivotField dataField="1" showAll="0"/>
    <pivotField showAll="0"/>
    <pivotField numFmtId="164" showAll="0">
      <items count="84">
        <item x="44"/>
        <item x="3"/>
        <item x="29"/>
        <item x="12"/>
        <item x="43"/>
        <item x="25"/>
        <item x="77"/>
        <item x="81"/>
        <item x="10"/>
        <item x="30"/>
        <item x="50"/>
        <item x="59"/>
        <item x="9"/>
        <item x="0"/>
        <item x="76"/>
        <item x="62"/>
        <item x="1"/>
        <item x="4"/>
        <item x="41"/>
        <item x="21"/>
        <item x="47"/>
        <item x="15"/>
        <item x="69"/>
        <item x="74"/>
        <item x="14"/>
        <item x="20"/>
        <item x="19"/>
        <item x="82"/>
        <item x="7"/>
        <item x="42"/>
        <item x="31"/>
        <item x="33"/>
        <item x="8"/>
        <item x="24"/>
        <item x="78"/>
        <item x="68"/>
        <item x="57"/>
        <item x="51"/>
        <item x="64"/>
        <item x="67"/>
        <item x="18"/>
        <item x="53"/>
        <item x="36"/>
        <item x="71"/>
        <item x="55"/>
        <item x="23"/>
        <item x="28"/>
        <item x="5"/>
        <item x="80"/>
        <item x="35"/>
        <item x="17"/>
        <item x="48"/>
        <item x="61"/>
        <item x="11"/>
        <item x="39"/>
        <item x="22"/>
        <item x="56"/>
        <item x="65"/>
        <item x="54"/>
        <item x="6"/>
        <item x="2"/>
        <item x="60"/>
        <item x="49"/>
        <item x="34"/>
        <item x="37"/>
        <item x="73"/>
        <item x="16"/>
        <item x="72"/>
        <item x="13"/>
        <item x="75"/>
        <item x="52"/>
        <item x="26"/>
        <item x="38"/>
        <item x="79"/>
        <item x="45"/>
        <item x="27"/>
        <item x="46"/>
        <item x="66"/>
        <item x="58"/>
        <item x="63"/>
        <item x="40"/>
        <item x="70"/>
        <item x="32"/>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Average of Marks" fld="4" subtotal="average" baseField="0" baseItem="0"/>
  </dataFields>
  <formats count="6">
    <format dxfId="10">
      <pivotArea grandRow="1" outline="0" collapsedLevelsAreSubtotals="1" fieldPosition="0"/>
    </format>
    <format dxfId="9">
      <pivotArea collapsedLevelsAreSubtotals="1" fieldPosition="0">
        <references count="1">
          <reference field="0" count="1">
            <x v="32"/>
          </reference>
        </references>
      </pivotArea>
    </format>
    <format dxfId="8">
      <pivotArea collapsedLevelsAreSubtotals="1" fieldPosition="0">
        <references count="1">
          <reference field="0" count="1">
            <x v="34"/>
          </reference>
        </references>
      </pivotArea>
    </format>
    <format dxfId="7">
      <pivotArea collapsedLevelsAreSubtotals="1" fieldPosition="0">
        <references count="1">
          <reference field="0" count="1">
            <x v="63"/>
          </reference>
        </references>
      </pivotArea>
    </format>
    <format dxfId="6">
      <pivotArea collapsedLevelsAreSubtotals="1" fieldPosition="0">
        <references count="1">
          <reference field="0" count="1">
            <x v="76"/>
          </reference>
        </references>
      </pivotArea>
    </format>
    <format dxfId="5">
      <pivotArea collapsedLevelsAreSubtotals="1" fieldPosition="0">
        <references count="1">
          <reference field="0" count="1">
            <x v="9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B6314-C3E5-4AD5-A6B5-BCFCDEEB892E}" name="Pivot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enrolldate">
  <location ref="J26:K37" firstHeaderRow="1" firstDataRow="1" firstDataCol="1"/>
  <pivotFields count="11">
    <pivotField showAll="0"/>
    <pivotField showAll="0"/>
    <pivotField showAll="0"/>
    <pivotField showAll="0">
      <items count="6">
        <item x="4"/>
        <item x="2"/>
        <item x="3"/>
        <item x="0"/>
        <item x="1"/>
        <item t="default"/>
      </items>
    </pivotField>
    <pivotField showAll="0"/>
    <pivotField dataField="1" showAll="0"/>
    <pivotField numFmtId="164" showAll="0">
      <items count="84">
        <item x="44"/>
        <item x="3"/>
        <item x="29"/>
        <item x="12"/>
        <item x="43"/>
        <item x="25"/>
        <item x="77"/>
        <item x="81"/>
        <item x="10"/>
        <item x="30"/>
        <item x="50"/>
        <item x="59"/>
        <item x="9"/>
        <item x="0"/>
        <item x="76"/>
        <item x="62"/>
        <item x="1"/>
        <item x="4"/>
        <item x="41"/>
        <item x="21"/>
        <item x="47"/>
        <item x="15"/>
        <item x="69"/>
        <item x="74"/>
        <item x="14"/>
        <item x="20"/>
        <item x="19"/>
        <item x="82"/>
        <item x="7"/>
        <item x="42"/>
        <item x="31"/>
        <item x="33"/>
        <item x="8"/>
        <item x="24"/>
        <item x="78"/>
        <item x="68"/>
        <item x="57"/>
        <item x="51"/>
        <item x="64"/>
        <item x="67"/>
        <item x="18"/>
        <item x="53"/>
        <item x="36"/>
        <item x="71"/>
        <item x="55"/>
        <item x="23"/>
        <item x="28"/>
        <item x="5"/>
        <item x="80"/>
        <item x="35"/>
        <item x="17"/>
        <item x="48"/>
        <item x="61"/>
        <item x="11"/>
        <item x="39"/>
        <item x="22"/>
        <item x="56"/>
        <item x="65"/>
        <item x="54"/>
        <item x="6"/>
        <item x="2"/>
        <item x="60"/>
        <item x="49"/>
        <item x="34"/>
        <item x="37"/>
        <item x="73"/>
        <item x="16"/>
        <item x="72"/>
        <item x="13"/>
        <item x="75"/>
        <item x="52"/>
        <item x="26"/>
        <item x="38"/>
        <item x="79"/>
        <item x="45"/>
        <item x="27"/>
        <item x="46"/>
        <item x="66"/>
        <item x="58"/>
        <item x="63"/>
        <item x="40"/>
        <item x="70"/>
        <item x="32"/>
        <item t="default"/>
      </items>
    </pivotField>
    <pivotField showAll="0"/>
    <pivotField showAll="0"/>
    <pivotField showAll="0">
      <items count="4">
        <item x="2"/>
        <item x="1"/>
        <item x="0"/>
        <item t="default"/>
      </items>
    </pivotField>
    <pivotField axis="axisRow" showAll="0">
      <items count="15">
        <item x="0"/>
        <item x="1"/>
        <item x="2"/>
        <item x="3"/>
        <item x="4"/>
        <item x="5"/>
        <item x="6"/>
        <item x="7"/>
        <item x="8"/>
        <item x="9"/>
        <item x="10"/>
        <item x="11"/>
        <item x="12"/>
        <item x="13"/>
        <item t="default"/>
      </items>
    </pivotField>
  </pivotFields>
  <rowFields count="1">
    <field x="10"/>
  </rowFields>
  <rowItems count="11">
    <i>
      <x v="1"/>
    </i>
    <i>
      <x v="2"/>
    </i>
    <i>
      <x v="3"/>
    </i>
    <i>
      <x v="4"/>
    </i>
    <i>
      <x v="5"/>
    </i>
    <i>
      <x v="6"/>
    </i>
    <i>
      <x v="7"/>
    </i>
    <i>
      <x v="8"/>
    </i>
    <i>
      <x v="9"/>
    </i>
    <i>
      <x v="10"/>
    </i>
    <i t="grand">
      <x/>
    </i>
  </rowItems>
  <colItems count="1">
    <i/>
  </colItems>
  <dataFields count="1">
    <dataField name="Average of Attendance" fld="5" subtotal="average" baseField="10" baseItem="3"/>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9E5DCB-482F-474B-9D56-D71B615E6088}" name="Pivot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department">
  <location ref="J17:K22" firstHeaderRow="1" firstDataRow="1" firstDataCol="1"/>
  <pivotFields count="11">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4"/>
        <item x="2"/>
        <item x="3"/>
        <item x="0"/>
        <item x="1"/>
        <item t="default"/>
      </items>
    </pivotField>
    <pivotField dataField="1" showAll="0"/>
    <pivotField showAll="0"/>
    <pivotField numFmtId="164" showAll="0">
      <items count="84">
        <item x="44"/>
        <item x="3"/>
        <item x="29"/>
        <item x="12"/>
        <item x="43"/>
        <item x="25"/>
        <item x="77"/>
        <item x="81"/>
        <item x="10"/>
        <item x="30"/>
        <item x="50"/>
        <item x="59"/>
        <item x="9"/>
        <item x="0"/>
        <item x="76"/>
        <item x="62"/>
        <item x="1"/>
        <item x="4"/>
        <item x="41"/>
        <item x="21"/>
        <item x="47"/>
        <item x="15"/>
        <item x="69"/>
        <item x="74"/>
        <item x="14"/>
        <item x="20"/>
        <item x="19"/>
        <item x="82"/>
        <item x="7"/>
        <item x="42"/>
        <item x="31"/>
        <item x="33"/>
        <item x="8"/>
        <item x="24"/>
        <item x="78"/>
        <item x="68"/>
        <item x="57"/>
        <item x="51"/>
        <item x="64"/>
        <item x="67"/>
        <item x="18"/>
        <item x="53"/>
        <item x="36"/>
        <item x="71"/>
        <item x="55"/>
        <item x="23"/>
        <item x="28"/>
        <item x="5"/>
        <item x="80"/>
        <item x="35"/>
        <item x="17"/>
        <item x="48"/>
        <item x="61"/>
        <item x="11"/>
        <item x="39"/>
        <item x="22"/>
        <item x="56"/>
        <item x="65"/>
        <item x="54"/>
        <item x="6"/>
        <item x="2"/>
        <item x="60"/>
        <item x="49"/>
        <item x="34"/>
        <item x="37"/>
        <item x="73"/>
        <item x="16"/>
        <item x="72"/>
        <item x="13"/>
        <item x="75"/>
        <item x="52"/>
        <item x="26"/>
        <item x="38"/>
        <item x="79"/>
        <item x="45"/>
        <item x="27"/>
        <item x="46"/>
        <item x="66"/>
        <item x="58"/>
        <item x="63"/>
        <item x="40"/>
        <item x="70"/>
        <item x="32"/>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4"/>
    </i>
    <i>
      <x v="1"/>
    </i>
    <i>
      <x v="2"/>
    </i>
    <i>
      <x/>
    </i>
    <i>
      <x v="3"/>
    </i>
  </rowItems>
  <colItems count="1">
    <i/>
  </colItems>
  <dataFields count="1">
    <dataField name="Average of Marks" fld="4" subtotal="average" baseField="2" baseItem="0" numFmtId="2"/>
  </dataFields>
  <formats count="1">
    <format dxfId="11">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514EA6-01D2-4CFF-AA41-54F948B5E7E7}" name="Pivo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id">
  <location ref="A1:B102" firstHeaderRow="1" firstDataRow="1" firstDataCol="1"/>
  <pivotFields count="11">
    <pivotField axis="axisRow"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6">
        <item x="4"/>
        <item x="2"/>
        <item x="3"/>
        <item x="0"/>
        <item x="1"/>
        <item t="default"/>
      </items>
    </pivotField>
    <pivotField showAll="0"/>
    <pivotField showAll="0"/>
    <pivotField numFmtId="164" showAll="0">
      <items count="84">
        <item x="44"/>
        <item x="3"/>
        <item x="29"/>
        <item x="12"/>
        <item x="43"/>
        <item x="25"/>
        <item x="77"/>
        <item x="81"/>
        <item x="10"/>
        <item x="30"/>
        <item x="50"/>
        <item x="59"/>
        <item x="9"/>
        <item x="0"/>
        <item x="76"/>
        <item x="62"/>
        <item x="1"/>
        <item x="4"/>
        <item x="41"/>
        <item x="21"/>
        <item x="47"/>
        <item x="15"/>
        <item x="69"/>
        <item x="74"/>
        <item x="14"/>
        <item x="20"/>
        <item x="19"/>
        <item x="82"/>
        <item x="7"/>
        <item x="42"/>
        <item x="31"/>
        <item x="33"/>
        <item x="8"/>
        <item x="24"/>
        <item x="78"/>
        <item x="68"/>
        <item x="57"/>
        <item x="51"/>
        <item x="64"/>
        <item x="67"/>
        <item x="18"/>
        <item x="53"/>
        <item x="36"/>
        <item x="71"/>
        <item x="55"/>
        <item x="23"/>
        <item x="28"/>
        <item x="5"/>
        <item x="80"/>
        <item x="35"/>
        <item x="17"/>
        <item x="48"/>
        <item x="61"/>
        <item x="11"/>
        <item x="39"/>
        <item x="22"/>
        <item x="56"/>
        <item x="65"/>
        <item x="54"/>
        <item x="6"/>
        <item x="2"/>
        <item x="60"/>
        <item x="49"/>
        <item x="34"/>
        <item x="37"/>
        <item x="73"/>
        <item x="16"/>
        <item x="72"/>
        <item x="13"/>
        <item x="75"/>
        <item x="52"/>
        <item x="26"/>
        <item x="38"/>
        <item x="79"/>
        <item x="45"/>
        <item x="27"/>
        <item x="46"/>
        <item x="66"/>
        <item x="58"/>
        <item x="63"/>
        <item x="40"/>
        <item x="70"/>
        <item x="32"/>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Count of Stude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8B56FE-BC56-4133-9275-F3AAB08F9D5B}" name="Pivot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ity">
  <location ref="J9:K15" firstHeaderRow="1" firstDataRow="1" firstDataCol="1"/>
  <pivotFields count="11">
    <pivotField dataField="1" showAll="0"/>
    <pivotField showAll="0"/>
    <pivotField showAll="0"/>
    <pivotField showAll="0">
      <items count="6">
        <item x="4"/>
        <item x="2"/>
        <item x="3"/>
        <item x="0"/>
        <item x="1"/>
        <item t="default"/>
      </items>
    </pivotField>
    <pivotField showAll="0"/>
    <pivotField showAll="0"/>
    <pivotField numFmtId="164" showAll="0">
      <items count="84">
        <item x="44"/>
        <item x="3"/>
        <item x="29"/>
        <item x="12"/>
        <item x="43"/>
        <item x="25"/>
        <item x="77"/>
        <item x="81"/>
        <item x="10"/>
        <item x="30"/>
        <item x="50"/>
        <item x="59"/>
        <item x="9"/>
        <item x="0"/>
        <item x="76"/>
        <item x="62"/>
        <item x="1"/>
        <item x="4"/>
        <item x="41"/>
        <item x="21"/>
        <item x="47"/>
        <item x="15"/>
        <item x="69"/>
        <item x="74"/>
        <item x="14"/>
        <item x="20"/>
        <item x="19"/>
        <item x="82"/>
        <item x="7"/>
        <item x="42"/>
        <item x="31"/>
        <item x="33"/>
        <item x="8"/>
        <item x="24"/>
        <item x="78"/>
        <item x="68"/>
        <item x="57"/>
        <item x="51"/>
        <item x="64"/>
        <item x="67"/>
        <item x="18"/>
        <item x="53"/>
        <item x="36"/>
        <item x="71"/>
        <item x="55"/>
        <item x="23"/>
        <item x="28"/>
        <item x="5"/>
        <item x="80"/>
        <item x="35"/>
        <item x="17"/>
        <item x="48"/>
        <item x="61"/>
        <item x="11"/>
        <item x="39"/>
        <item x="22"/>
        <item x="56"/>
        <item x="65"/>
        <item x="54"/>
        <item x="6"/>
        <item x="2"/>
        <item x="60"/>
        <item x="49"/>
        <item x="34"/>
        <item x="37"/>
        <item x="73"/>
        <item x="16"/>
        <item x="72"/>
        <item x="13"/>
        <item x="75"/>
        <item x="52"/>
        <item x="26"/>
        <item x="38"/>
        <item x="79"/>
        <item x="45"/>
        <item x="27"/>
        <item x="46"/>
        <item x="66"/>
        <item x="58"/>
        <item x="63"/>
        <item x="40"/>
        <item x="70"/>
        <item x="32"/>
        <item t="default"/>
      </items>
    </pivotField>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2"/>
    </i>
    <i>
      <x v="1"/>
    </i>
    <i>
      <x v="3"/>
    </i>
    <i>
      <x v="4"/>
    </i>
    <i t="grand">
      <x/>
    </i>
  </rowItems>
  <colItems count="1">
    <i/>
  </colItems>
  <dataFields count="1">
    <dataField name="Count of StudentID" fld="0" subtotal="count" baseField="0"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177F61-79BA-4F66-B8D4-E1CCB40427D3}" name="Pivot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tatus">
  <location ref="J2:K6" firstHeaderRow="1" firstDataRow="1" firstDataCol="1"/>
  <pivotFields count="11">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6">
        <item x="4"/>
        <item x="2"/>
        <item x="0"/>
        <item x="3"/>
        <item x="1"/>
        <item t="default"/>
      </items>
    </pivotField>
    <pivotField showAll="0">
      <items count="6">
        <item x="4"/>
        <item x="2"/>
        <item x="3"/>
        <item x="0"/>
        <item x="1"/>
        <item t="default"/>
      </items>
    </pivotField>
    <pivotField showAll="0">
      <items count="51">
        <item x="15"/>
        <item x="44"/>
        <item x="13"/>
        <item x="37"/>
        <item x="0"/>
        <item x="40"/>
        <item x="46"/>
        <item x="5"/>
        <item x="36"/>
        <item x="27"/>
        <item x="9"/>
        <item x="4"/>
        <item x="16"/>
        <item x="19"/>
        <item x="48"/>
        <item x="32"/>
        <item x="14"/>
        <item x="26"/>
        <item x="11"/>
        <item x="6"/>
        <item x="20"/>
        <item x="49"/>
        <item x="18"/>
        <item x="8"/>
        <item x="7"/>
        <item x="33"/>
        <item x="28"/>
        <item x="35"/>
        <item x="31"/>
        <item x="23"/>
        <item x="43"/>
        <item x="29"/>
        <item x="38"/>
        <item x="45"/>
        <item x="47"/>
        <item x="24"/>
        <item x="39"/>
        <item x="21"/>
        <item x="25"/>
        <item x="22"/>
        <item x="30"/>
        <item x="2"/>
        <item x="17"/>
        <item x="3"/>
        <item x="10"/>
        <item x="42"/>
        <item x="12"/>
        <item x="34"/>
        <item x="1"/>
        <item x="41"/>
        <item t="default"/>
      </items>
    </pivotField>
    <pivotField showAll="0">
      <items count="45">
        <item x="21"/>
        <item x="36"/>
        <item x="33"/>
        <item x="4"/>
        <item x="34"/>
        <item x="24"/>
        <item x="25"/>
        <item x="9"/>
        <item x="27"/>
        <item x="14"/>
        <item x="6"/>
        <item x="11"/>
        <item x="37"/>
        <item x="8"/>
        <item x="28"/>
        <item x="13"/>
        <item x="18"/>
        <item x="39"/>
        <item x="10"/>
        <item x="12"/>
        <item x="43"/>
        <item x="35"/>
        <item x="15"/>
        <item x="3"/>
        <item x="0"/>
        <item x="5"/>
        <item x="32"/>
        <item x="7"/>
        <item x="20"/>
        <item x="16"/>
        <item x="23"/>
        <item x="2"/>
        <item x="41"/>
        <item x="29"/>
        <item x="1"/>
        <item x="31"/>
        <item x="19"/>
        <item x="22"/>
        <item x="30"/>
        <item x="40"/>
        <item x="17"/>
        <item x="26"/>
        <item x="38"/>
        <item x="42"/>
        <item t="default"/>
      </items>
    </pivotField>
    <pivotField numFmtId="164" showAll="0">
      <items count="84">
        <item x="44"/>
        <item x="3"/>
        <item x="29"/>
        <item x="12"/>
        <item x="43"/>
        <item x="25"/>
        <item x="77"/>
        <item x="81"/>
        <item x="10"/>
        <item x="30"/>
        <item x="50"/>
        <item x="59"/>
        <item x="9"/>
        <item x="0"/>
        <item x="76"/>
        <item x="62"/>
        <item x="1"/>
        <item x="4"/>
        <item x="41"/>
        <item x="21"/>
        <item x="47"/>
        <item x="15"/>
        <item x="69"/>
        <item x="74"/>
        <item x="14"/>
        <item x="20"/>
        <item x="19"/>
        <item x="82"/>
        <item x="7"/>
        <item x="42"/>
        <item x="31"/>
        <item x="33"/>
        <item x="8"/>
        <item x="24"/>
        <item x="78"/>
        <item x="68"/>
        <item x="57"/>
        <item x="51"/>
        <item x="64"/>
        <item x="67"/>
        <item x="18"/>
        <item x="53"/>
        <item x="36"/>
        <item x="71"/>
        <item x="55"/>
        <item x="23"/>
        <item x="28"/>
        <item x="5"/>
        <item x="80"/>
        <item x="35"/>
        <item x="17"/>
        <item x="48"/>
        <item x="61"/>
        <item x="11"/>
        <item x="39"/>
        <item x="22"/>
        <item x="56"/>
        <item x="65"/>
        <item x="54"/>
        <item x="6"/>
        <item x="2"/>
        <item x="60"/>
        <item x="49"/>
        <item x="34"/>
        <item x="37"/>
        <item x="73"/>
        <item x="16"/>
        <item x="72"/>
        <item x="13"/>
        <item x="75"/>
        <item x="52"/>
        <item x="26"/>
        <item x="38"/>
        <item x="79"/>
        <item x="45"/>
        <item x="27"/>
        <item x="46"/>
        <item x="66"/>
        <item x="58"/>
        <item x="63"/>
        <item x="40"/>
        <item x="70"/>
        <item x="32"/>
        <item t="default"/>
      </items>
    </pivotField>
    <pivotField showAll="0"/>
    <pivotField showAll="0"/>
    <pivotField axis="axisRow" showAll="0">
      <items count="4">
        <item x="2"/>
        <item x="1"/>
        <item x="0"/>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StudentID" fld="0" subtotal="count" baseField="0" baseItem="0"/>
  </dataField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9" count="1" selected="0">
            <x v="0"/>
          </reference>
        </references>
      </pivotArea>
    </chartFormat>
    <chartFormat chart="8" format="15">
      <pivotArea type="data" outline="0" fieldPosition="0">
        <references count="2">
          <reference field="4294967294" count="1" selected="0">
            <x v="0"/>
          </reference>
          <reference field="9" count="1" selected="0">
            <x v="1"/>
          </reference>
        </references>
      </pivotArea>
    </chartFormat>
    <chartFormat chart="8" format="1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E88ABDA-8632-4BC9-B29F-A2E331FE3069}" sourceName="Status">
  <pivotTables>
    <pivotTable tabId="8" name="Pivot1"/>
    <pivotTable tabId="8" name="Pivot2"/>
    <pivotTable tabId="8" name="Pivot3"/>
    <pivotTable tabId="8" name="Pivot5"/>
    <pivotTable tabId="8" name="Pivot6"/>
    <pivotTable tabId="8" name="Pivot7"/>
  </pivotTables>
  <data>
    <tabular pivotCacheId="869761089" crossFilter="none">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D2A52988-DC40-4BBE-A716-6ED48EA5511C}" sourceName="Course">
  <pivotTables>
    <pivotTable tabId="8" name="Pivot4"/>
    <pivotTable tabId="8" name="Pivot1"/>
    <pivotTable tabId="8" name="Pivot2"/>
    <pivotTable tabId="8" name="Pivot3"/>
    <pivotTable tabId="8" name="Pivot5"/>
    <pivotTable tabId="8" name="Pivot6"/>
    <pivotTable tabId="8" name="Pivot7"/>
  </pivotTables>
  <data>
    <tabular pivotCacheId="869761089">
      <items count="5">
        <i x="4"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7BCDDAFF-EA57-45D8-9600-B5B89B22FE62}" cache="Slicer_Status" caption="Status" rowHeight="234950"/>
  <slicer name="Course" xr10:uid="{365F58B0-A4E0-4FA6-8E71-D51426D37B18}" cache="Slicer_Course" caption="Cours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56043A7F-9462-4A03-BE7A-71A2D3B44581}" cache="Slicer_Status" caption="Status" style="SlicerStyleOther2" rowHeight="234950"/>
  <slicer name="Course 1" xr10:uid="{DA3C255E-2751-4CAD-ADDB-FFCD492B91B1}" cache="Slicer_Course" caption="Cours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C664BE-E858-4BC3-BCC3-DA2A794C99CB}" name="studentdata" displayName="studentdata" ref="A1:J101" totalsRowShown="0" headerRowDxfId="15" headerRowBorderDxfId="14" tableBorderDxfId="13">
  <autoFilter ref="A1:J101" xr:uid="{9FC664BE-E858-4BC3-BCC3-DA2A794C99CB}"/>
  <tableColumns count="10">
    <tableColumn id="1" xr3:uid="{41382E35-661D-4059-9C1A-79ADD26E0AF1}" name="StudentID"/>
    <tableColumn id="2" xr3:uid="{507C62EE-9339-4721-A3E9-7E80710C8032}" name="Name"/>
    <tableColumn id="3" xr3:uid="{5D216920-BC04-4E82-9AAE-14FE5649BB23}" name="Department"/>
    <tableColumn id="4" xr3:uid="{3F9EFAFD-08E8-4A72-93F2-1E1B2D213CC9}" name="Course"/>
    <tableColumn id="5" xr3:uid="{A50A5943-BE08-428B-981A-ABF790D0FD6D}" name="Marks"/>
    <tableColumn id="6" xr3:uid="{E224DBDF-95A8-43B7-BD9D-021C35AA2A46}" name="Attendance"/>
    <tableColumn id="7" xr3:uid="{2C8C20C8-A027-4519-A239-BA4FA7B6ED88}" name="EnrollDate" dataDxfId="12"/>
    <tableColumn id="8" xr3:uid="{6D90011D-7630-43DE-BA98-A039F60241A2}" name="City"/>
    <tableColumn id="9" xr3:uid="{25B59AA0-D265-47E0-A8D4-066EBE44CE57}" name="Trainer"/>
    <tableColumn id="10" xr3:uid="{363626BB-9236-46DD-BF95-47920176D8E5}"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87894-2C5A-4A8E-9290-D5ACC84F7D70}">
  <dimension ref="A1:J101"/>
  <sheetViews>
    <sheetView zoomScale="74" workbookViewId="0">
      <selection activeCell="D4" sqref="D4"/>
    </sheetView>
  </sheetViews>
  <sheetFormatPr defaultRowHeight="14.4" x14ac:dyDescent="0.3"/>
  <cols>
    <col min="1" max="1" width="13.88671875" bestFit="1" customWidth="1"/>
    <col min="2" max="2" width="11.21875" bestFit="1" customWidth="1"/>
    <col min="3" max="3" width="15.5546875" bestFit="1" customWidth="1"/>
    <col min="4" max="4" width="12.109375" bestFit="1" customWidth="1"/>
    <col min="5" max="5" width="10.6640625" bestFit="1" customWidth="1"/>
    <col min="6" max="6" width="15.21875" bestFit="1" customWidth="1"/>
    <col min="7" max="7" width="18.88671875" bestFit="1" customWidth="1"/>
    <col min="8" max="8" width="9.21875" bestFit="1" customWidth="1"/>
    <col min="9" max="9" width="8.77734375" customWidth="1"/>
    <col min="10" max="10" width="10.6640625" bestFit="1" customWidth="1"/>
  </cols>
  <sheetData>
    <row r="1" spans="1:10" x14ac:dyDescent="0.3">
      <c r="A1" s="6" t="s">
        <v>0</v>
      </c>
      <c r="B1" s="6" t="s">
        <v>1</v>
      </c>
      <c r="C1" s="6" t="s">
        <v>2</v>
      </c>
      <c r="D1" s="6" t="s">
        <v>3</v>
      </c>
      <c r="E1" s="6" t="s">
        <v>4</v>
      </c>
      <c r="F1" s="6" t="s">
        <v>5</v>
      </c>
      <c r="G1" s="6" t="s">
        <v>6</v>
      </c>
      <c r="H1" s="6" t="s">
        <v>7</v>
      </c>
      <c r="I1" s="6" t="s">
        <v>8</v>
      </c>
      <c r="J1" s="6" t="s">
        <v>9</v>
      </c>
    </row>
    <row r="2" spans="1:10" x14ac:dyDescent="0.3">
      <c r="A2" t="s">
        <v>10</v>
      </c>
      <c r="B2" t="s">
        <v>11</v>
      </c>
      <c r="C2" t="s">
        <v>12</v>
      </c>
      <c r="D2" t="s">
        <v>13</v>
      </c>
      <c r="E2">
        <v>45</v>
      </c>
      <c r="F2">
        <v>79</v>
      </c>
      <c r="G2" s="5">
        <v>45375</v>
      </c>
      <c r="H2" t="s">
        <v>14</v>
      </c>
      <c r="I2" t="s">
        <v>15</v>
      </c>
      <c r="J2" t="s">
        <v>16</v>
      </c>
    </row>
    <row r="3" spans="1:10" x14ac:dyDescent="0.3">
      <c r="A3" t="s">
        <v>17</v>
      </c>
      <c r="B3" t="s">
        <v>18</v>
      </c>
      <c r="C3" t="s">
        <v>19</v>
      </c>
      <c r="D3" t="s">
        <v>20</v>
      </c>
      <c r="E3">
        <v>99</v>
      </c>
      <c r="F3">
        <v>89</v>
      </c>
      <c r="G3" s="5">
        <v>45382</v>
      </c>
      <c r="H3" t="s">
        <v>21</v>
      </c>
      <c r="I3" t="s">
        <v>22</v>
      </c>
      <c r="J3" t="s">
        <v>16</v>
      </c>
    </row>
    <row r="4" spans="1:10" x14ac:dyDescent="0.3">
      <c r="A4" t="s">
        <v>23</v>
      </c>
      <c r="B4" t="s">
        <v>24</v>
      </c>
      <c r="C4" t="s">
        <v>25</v>
      </c>
      <c r="D4" t="s">
        <v>20</v>
      </c>
      <c r="E4">
        <v>88</v>
      </c>
      <c r="F4">
        <v>86</v>
      </c>
      <c r="G4" s="5">
        <v>45503</v>
      </c>
      <c r="H4" t="s">
        <v>26</v>
      </c>
      <c r="I4" t="s">
        <v>15</v>
      </c>
      <c r="J4" t="s">
        <v>16</v>
      </c>
    </row>
    <row r="5" spans="1:10" x14ac:dyDescent="0.3">
      <c r="A5" t="s">
        <v>27</v>
      </c>
      <c r="B5" t="s">
        <v>28</v>
      </c>
      <c r="C5" t="s">
        <v>25</v>
      </c>
      <c r="D5" t="s">
        <v>29</v>
      </c>
      <c r="E5">
        <v>94</v>
      </c>
      <c r="F5" s="1">
        <f ca="1">AVERAGEIF(D2:D101,D5,F2:F101)</f>
        <v>78.545454545454547</v>
      </c>
      <c r="G5" s="5">
        <v>45304</v>
      </c>
      <c r="H5" t="s">
        <v>26</v>
      </c>
      <c r="I5" t="s">
        <v>30</v>
      </c>
      <c r="J5" t="s">
        <v>16</v>
      </c>
    </row>
    <row r="6" spans="1:10" x14ac:dyDescent="0.3">
      <c r="A6" t="s">
        <v>31</v>
      </c>
      <c r="B6" t="s">
        <v>32</v>
      </c>
      <c r="C6" t="s">
        <v>12</v>
      </c>
      <c r="D6" t="s">
        <v>33</v>
      </c>
      <c r="E6">
        <v>55</v>
      </c>
      <c r="F6">
        <v>54</v>
      </c>
      <c r="G6" s="5">
        <v>45383</v>
      </c>
      <c r="H6" t="s">
        <v>21</v>
      </c>
      <c r="I6" t="s">
        <v>22</v>
      </c>
      <c r="J6" t="s">
        <v>34</v>
      </c>
    </row>
    <row r="7" spans="1:10" x14ac:dyDescent="0.3">
      <c r="A7" t="s">
        <v>35</v>
      </c>
      <c r="B7" t="s">
        <v>36</v>
      </c>
      <c r="C7" t="s">
        <v>12</v>
      </c>
      <c r="D7" t="s">
        <v>20</v>
      </c>
      <c r="E7">
        <v>50</v>
      </c>
      <c r="F7" s="1">
        <f ca="1">AVERAGEIF(D2:D101,D7,F2:F101)</f>
        <v>79.466666666666669</v>
      </c>
      <c r="G7" s="5">
        <v>45462</v>
      </c>
      <c r="H7" t="s">
        <v>37</v>
      </c>
      <c r="I7" t="s">
        <v>38</v>
      </c>
      <c r="J7" t="s">
        <v>39</v>
      </c>
    </row>
    <row r="8" spans="1:10" x14ac:dyDescent="0.3">
      <c r="A8" t="s">
        <v>40</v>
      </c>
      <c r="B8" t="s">
        <v>41</v>
      </c>
      <c r="C8" t="s">
        <v>42</v>
      </c>
      <c r="D8" t="s">
        <v>13</v>
      </c>
      <c r="E8">
        <v>66</v>
      </c>
      <c r="F8">
        <v>63</v>
      </c>
      <c r="G8" s="5">
        <v>45502</v>
      </c>
      <c r="H8" t="s">
        <v>43</v>
      </c>
      <c r="I8" t="s">
        <v>38</v>
      </c>
      <c r="J8" t="s">
        <v>34</v>
      </c>
    </row>
    <row r="9" spans="1:10" x14ac:dyDescent="0.3">
      <c r="A9" t="s">
        <v>44</v>
      </c>
      <c r="B9" t="s">
        <v>45</v>
      </c>
      <c r="C9" t="s">
        <v>19</v>
      </c>
      <c r="D9" t="s">
        <v>29</v>
      </c>
      <c r="E9">
        <v>71</v>
      </c>
      <c r="F9">
        <v>82</v>
      </c>
      <c r="G9" s="5">
        <v>45419</v>
      </c>
      <c r="H9" t="s">
        <v>26</v>
      </c>
      <c r="I9" t="s">
        <v>46</v>
      </c>
      <c r="J9" t="s">
        <v>39</v>
      </c>
    </row>
    <row r="10" spans="1:10" x14ac:dyDescent="0.3">
      <c r="A10" t="s">
        <v>47</v>
      </c>
      <c r="B10" t="s">
        <v>48</v>
      </c>
      <c r="C10" t="s">
        <v>49</v>
      </c>
      <c r="D10" t="s">
        <v>29</v>
      </c>
      <c r="E10">
        <v>70</v>
      </c>
      <c r="F10">
        <v>66</v>
      </c>
      <c r="G10" s="5">
        <v>45428</v>
      </c>
      <c r="H10" t="s">
        <v>37</v>
      </c>
      <c r="I10" t="s">
        <v>30</v>
      </c>
      <c r="J10" t="s">
        <v>39</v>
      </c>
    </row>
    <row r="11" spans="1:10" x14ac:dyDescent="0.3">
      <c r="A11" t="s">
        <v>50</v>
      </c>
      <c r="B11" t="s">
        <v>51</v>
      </c>
      <c r="C11" t="s">
        <v>19</v>
      </c>
      <c r="D11" t="s">
        <v>52</v>
      </c>
      <c r="E11">
        <v>53</v>
      </c>
      <c r="F11">
        <v>58</v>
      </c>
      <c r="G11" s="5">
        <v>45373</v>
      </c>
      <c r="H11" t="s">
        <v>14</v>
      </c>
      <c r="I11" t="s">
        <v>22</v>
      </c>
      <c r="J11" t="s">
        <v>39</v>
      </c>
    </row>
    <row r="12" spans="1:10" x14ac:dyDescent="0.3">
      <c r="A12" t="s">
        <v>53</v>
      </c>
      <c r="B12" t="s">
        <v>228</v>
      </c>
      <c r="C12" t="s">
        <v>25</v>
      </c>
      <c r="D12" t="s">
        <v>52</v>
      </c>
      <c r="E12">
        <v>95</v>
      </c>
      <c r="F12">
        <v>72</v>
      </c>
      <c r="G12" s="5">
        <v>45347</v>
      </c>
      <c r="H12" t="s">
        <v>26</v>
      </c>
      <c r="I12" t="s">
        <v>15</v>
      </c>
      <c r="J12" t="s">
        <v>39</v>
      </c>
    </row>
    <row r="13" spans="1:10" x14ac:dyDescent="0.3">
      <c r="A13" t="s">
        <v>54</v>
      </c>
      <c r="B13" t="s">
        <v>229</v>
      </c>
      <c r="C13" t="s">
        <v>49</v>
      </c>
      <c r="D13" t="s">
        <v>33</v>
      </c>
      <c r="E13">
        <v>65</v>
      </c>
      <c r="F13">
        <v>54</v>
      </c>
      <c r="G13" s="5">
        <v>45487</v>
      </c>
      <c r="H13" t="s">
        <v>14</v>
      </c>
      <c r="I13" t="s">
        <v>15</v>
      </c>
      <c r="J13" t="s">
        <v>39</v>
      </c>
    </row>
    <row r="14" spans="1:10" x14ac:dyDescent="0.3">
      <c r="A14" t="s">
        <v>55</v>
      </c>
      <c r="B14" t="s">
        <v>56</v>
      </c>
      <c r="C14" t="s">
        <v>19</v>
      </c>
      <c r="D14" t="s">
        <v>29</v>
      </c>
      <c r="E14">
        <v>97</v>
      </c>
      <c r="F14">
        <v>65</v>
      </c>
      <c r="G14" s="5">
        <v>45311</v>
      </c>
      <c r="H14" t="s">
        <v>37</v>
      </c>
      <c r="I14" t="s">
        <v>15</v>
      </c>
      <c r="J14" t="s">
        <v>16</v>
      </c>
    </row>
    <row r="15" spans="1:10" x14ac:dyDescent="0.3">
      <c r="A15" t="s">
        <v>57</v>
      </c>
      <c r="B15" t="s">
        <v>58</v>
      </c>
      <c r="C15" t="s">
        <v>19</v>
      </c>
      <c r="D15" t="s">
        <v>13</v>
      </c>
      <c r="E15">
        <v>43</v>
      </c>
      <c r="F15">
        <v>73</v>
      </c>
      <c r="G15" s="5">
        <v>45532</v>
      </c>
      <c r="H15" t="s">
        <v>21</v>
      </c>
      <c r="I15" t="s">
        <v>15</v>
      </c>
      <c r="J15" t="s">
        <v>34</v>
      </c>
    </row>
    <row r="16" spans="1:10" x14ac:dyDescent="0.3">
      <c r="A16" t="s">
        <v>59</v>
      </c>
      <c r="B16" t="s">
        <v>60</v>
      </c>
      <c r="C16" t="s">
        <v>12</v>
      </c>
      <c r="D16" t="s">
        <v>52</v>
      </c>
      <c r="E16">
        <v>50</v>
      </c>
      <c r="F16">
        <v>68</v>
      </c>
      <c r="G16" s="5">
        <v>45405</v>
      </c>
      <c r="H16" t="s">
        <v>14</v>
      </c>
      <c r="I16" t="s">
        <v>30</v>
      </c>
      <c r="J16" t="s">
        <v>39</v>
      </c>
    </row>
    <row r="17" spans="1:10" x14ac:dyDescent="0.3">
      <c r="A17" t="s">
        <v>61</v>
      </c>
      <c r="B17" t="s">
        <v>62</v>
      </c>
      <c r="C17" t="s">
        <v>49</v>
      </c>
      <c r="D17" t="s">
        <v>52</v>
      </c>
      <c r="E17">
        <v>64</v>
      </c>
      <c r="F17">
        <v>60</v>
      </c>
      <c r="G17" s="5">
        <v>45394</v>
      </c>
      <c r="H17" t="s">
        <v>26</v>
      </c>
      <c r="I17" t="s">
        <v>38</v>
      </c>
      <c r="J17" t="s">
        <v>39</v>
      </c>
    </row>
    <row r="18" spans="1:10" x14ac:dyDescent="0.3">
      <c r="A18" t="s">
        <v>63</v>
      </c>
      <c r="B18" t="s">
        <v>64</v>
      </c>
      <c r="C18" t="s">
        <v>25</v>
      </c>
      <c r="D18" t="s">
        <v>33</v>
      </c>
      <c r="E18">
        <v>40</v>
      </c>
      <c r="F18">
        <v>78</v>
      </c>
      <c r="G18" s="5">
        <v>45527</v>
      </c>
      <c r="H18" t="s">
        <v>14</v>
      </c>
      <c r="I18" t="s">
        <v>38</v>
      </c>
      <c r="J18" t="s">
        <v>16</v>
      </c>
    </row>
    <row r="19" spans="1:10" x14ac:dyDescent="0.3">
      <c r="A19" t="s">
        <v>65</v>
      </c>
      <c r="B19" t="s">
        <v>66</v>
      </c>
      <c r="C19" t="s">
        <v>49</v>
      </c>
      <c r="D19" t="s">
        <v>20</v>
      </c>
      <c r="E19">
        <v>64</v>
      </c>
      <c r="F19">
        <v>84</v>
      </c>
      <c r="G19" s="5">
        <v>45471</v>
      </c>
      <c r="H19" t="s">
        <v>14</v>
      </c>
      <c r="I19" t="s">
        <v>38</v>
      </c>
      <c r="J19" t="s">
        <v>34</v>
      </c>
    </row>
    <row r="20" spans="1:10" x14ac:dyDescent="0.3">
      <c r="A20" t="s">
        <v>67</v>
      </c>
      <c r="B20" t="s">
        <v>68</v>
      </c>
      <c r="C20" t="s">
        <v>42</v>
      </c>
      <c r="D20" t="s">
        <v>20</v>
      </c>
      <c r="E20">
        <v>56</v>
      </c>
      <c r="F20">
        <v>95</v>
      </c>
      <c r="G20" s="5">
        <v>45448</v>
      </c>
      <c r="H20" t="s">
        <v>26</v>
      </c>
      <c r="I20" t="s">
        <v>38</v>
      </c>
      <c r="J20" t="s">
        <v>34</v>
      </c>
    </row>
    <row r="21" spans="1:10" x14ac:dyDescent="0.3">
      <c r="A21" t="s">
        <v>69</v>
      </c>
      <c r="B21" t="s">
        <v>70</v>
      </c>
      <c r="C21" t="s">
        <v>19</v>
      </c>
      <c r="D21" t="s">
        <v>13</v>
      </c>
      <c r="E21">
        <v>99</v>
      </c>
      <c r="F21">
        <v>69</v>
      </c>
      <c r="G21" s="5">
        <v>45408</v>
      </c>
      <c r="H21" t="s">
        <v>37</v>
      </c>
      <c r="I21" t="s">
        <v>15</v>
      </c>
      <c r="J21" t="s">
        <v>16</v>
      </c>
    </row>
    <row r="22" spans="1:10" x14ac:dyDescent="0.3">
      <c r="A22" t="s">
        <v>71</v>
      </c>
      <c r="B22" t="s">
        <v>72</v>
      </c>
      <c r="C22" t="s">
        <v>42</v>
      </c>
      <c r="D22" t="s">
        <v>20</v>
      </c>
      <c r="E22">
        <v>90</v>
      </c>
      <c r="F22">
        <v>89</v>
      </c>
      <c r="G22" s="5">
        <v>45406</v>
      </c>
      <c r="H22" t="s">
        <v>26</v>
      </c>
      <c r="I22" t="s">
        <v>46</v>
      </c>
      <c r="J22" t="s">
        <v>39</v>
      </c>
    </row>
    <row r="23" spans="1:10" x14ac:dyDescent="0.3">
      <c r="A23" t="s">
        <v>73</v>
      </c>
      <c r="B23" t="s">
        <v>74</v>
      </c>
      <c r="C23" t="s">
        <v>12</v>
      </c>
      <c r="D23" t="s">
        <v>29</v>
      </c>
      <c r="E23">
        <v>90</v>
      </c>
      <c r="F23">
        <v>91</v>
      </c>
      <c r="G23" s="5">
        <v>45304</v>
      </c>
      <c r="H23" t="s">
        <v>43</v>
      </c>
      <c r="I23" t="s">
        <v>22</v>
      </c>
      <c r="J23" t="s">
        <v>39</v>
      </c>
    </row>
    <row r="24" spans="1:10" x14ac:dyDescent="0.3">
      <c r="A24" t="s">
        <v>75</v>
      </c>
      <c r="B24" t="s">
        <v>76</v>
      </c>
      <c r="C24" t="s">
        <v>25</v>
      </c>
      <c r="D24" t="s">
        <v>20</v>
      </c>
      <c r="E24">
        <v>69</v>
      </c>
      <c r="F24">
        <v>83</v>
      </c>
      <c r="G24" s="5">
        <v>45390</v>
      </c>
      <c r="H24" t="s">
        <v>37</v>
      </c>
      <c r="I24" t="s">
        <v>15</v>
      </c>
      <c r="J24" t="s">
        <v>39</v>
      </c>
    </row>
    <row r="25" spans="1:10" x14ac:dyDescent="0.3">
      <c r="A25" t="s">
        <v>77</v>
      </c>
      <c r="B25" t="s">
        <v>78</v>
      </c>
      <c r="C25" t="s">
        <v>19</v>
      </c>
      <c r="D25" t="s">
        <v>29</v>
      </c>
      <c r="E25">
        <v>58</v>
      </c>
      <c r="F25">
        <v>50</v>
      </c>
      <c r="G25" s="5">
        <v>45496</v>
      </c>
      <c r="H25" t="s">
        <v>26</v>
      </c>
      <c r="I25" t="s">
        <v>15</v>
      </c>
      <c r="J25" t="s">
        <v>39</v>
      </c>
    </row>
    <row r="26" spans="1:10" x14ac:dyDescent="0.3">
      <c r="A26" t="s">
        <v>79</v>
      </c>
      <c r="B26" t="s">
        <v>80</v>
      </c>
      <c r="C26" t="s">
        <v>42</v>
      </c>
      <c r="D26" t="s">
        <v>13</v>
      </c>
      <c r="E26">
        <v>67</v>
      </c>
      <c r="F26">
        <v>92</v>
      </c>
      <c r="G26" s="5">
        <v>45460</v>
      </c>
      <c r="H26" t="s">
        <v>21</v>
      </c>
      <c r="I26" t="s">
        <v>38</v>
      </c>
      <c r="J26" t="s">
        <v>39</v>
      </c>
    </row>
    <row r="27" spans="1:10" x14ac:dyDescent="0.3">
      <c r="A27" t="s">
        <v>81</v>
      </c>
      <c r="B27" t="s">
        <v>82</v>
      </c>
      <c r="C27" t="s">
        <v>25</v>
      </c>
      <c r="D27" t="s">
        <v>33</v>
      </c>
      <c r="E27">
        <v>84</v>
      </c>
      <c r="F27">
        <v>85</v>
      </c>
      <c r="G27" s="5">
        <v>45434</v>
      </c>
      <c r="H27" t="s">
        <v>43</v>
      </c>
      <c r="I27" t="s">
        <v>15</v>
      </c>
      <c r="J27" t="s">
        <v>39</v>
      </c>
    </row>
    <row r="28" spans="1:10" x14ac:dyDescent="0.3">
      <c r="A28" t="s">
        <v>83</v>
      </c>
      <c r="B28" t="s">
        <v>84</v>
      </c>
      <c r="C28" t="s">
        <v>19</v>
      </c>
      <c r="D28" t="s">
        <v>13</v>
      </c>
      <c r="E28">
        <v>86</v>
      </c>
      <c r="F28">
        <v>69</v>
      </c>
      <c r="G28" s="5">
        <v>45327</v>
      </c>
      <c r="H28" t="s">
        <v>37</v>
      </c>
      <c r="I28" t="s">
        <v>15</v>
      </c>
      <c r="J28" t="s">
        <v>16</v>
      </c>
    </row>
    <row r="29" spans="1:10" x14ac:dyDescent="0.3">
      <c r="A29" t="s">
        <v>85</v>
      </c>
      <c r="B29" t="s">
        <v>86</v>
      </c>
      <c r="C29" t="s">
        <v>19</v>
      </c>
      <c r="D29" t="s">
        <v>52</v>
      </c>
      <c r="E29">
        <v>90</v>
      </c>
      <c r="F29">
        <v>92</v>
      </c>
      <c r="G29" s="5">
        <v>45434</v>
      </c>
      <c r="H29" t="s">
        <v>43</v>
      </c>
      <c r="I29" t="s">
        <v>38</v>
      </c>
      <c r="J29" t="s">
        <v>39</v>
      </c>
    </row>
    <row r="30" spans="1:10" x14ac:dyDescent="0.3">
      <c r="A30" t="s">
        <v>87</v>
      </c>
      <c r="B30" t="s">
        <v>88</v>
      </c>
      <c r="C30" t="s">
        <v>42</v>
      </c>
      <c r="D30" t="s">
        <v>52</v>
      </c>
      <c r="E30">
        <v>75</v>
      </c>
      <c r="F30">
        <v>56</v>
      </c>
      <c r="G30" s="5">
        <v>45471</v>
      </c>
      <c r="H30" t="s">
        <v>14</v>
      </c>
      <c r="I30" t="s">
        <v>30</v>
      </c>
      <c r="J30" t="s">
        <v>34</v>
      </c>
    </row>
    <row r="31" spans="1:10" x14ac:dyDescent="0.3">
      <c r="A31" t="s">
        <v>89</v>
      </c>
      <c r="B31" t="s">
        <v>90</v>
      </c>
      <c r="C31" t="s">
        <v>12</v>
      </c>
      <c r="D31" t="s">
        <v>52</v>
      </c>
      <c r="E31">
        <v>82</v>
      </c>
      <c r="F31">
        <v>58</v>
      </c>
      <c r="G31" s="5">
        <v>45552</v>
      </c>
      <c r="H31" t="s">
        <v>43</v>
      </c>
      <c r="I31" t="s">
        <v>30</v>
      </c>
      <c r="J31" t="s">
        <v>16</v>
      </c>
    </row>
    <row r="32" spans="1:10" x14ac:dyDescent="0.3">
      <c r="A32" t="s">
        <v>91</v>
      </c>
      <c r="B32" t="s">
        <v>92</v>
      </c>
      <c r="C32" t="s">
        <v>42</v>
      </c>
      <c r="D32" t="s">
        <v>33</v>
      </c>
      <c r="E32">
        <v>85</v>
      </c>
      <c r="F32">
        <v>66</v>
      </c>
      <c r="G32" s="5">
        <v>45496</v>
      </c>
      <c r="H32" t="s">
        <v>37</v>
      </c>
      <c r="I32" t="s">
        <v>38</v>
      </c>
      <c r="J32" t="s">
        <v>34</v>
      </c>
    </row>
    <row r="33" spans="1:10" x14ac:dyDescent="0.3">
      <c r="A33" t="s">
        <v>93</v>
      </c>
      <c r="B33" t="s">
        <v>94</v>
      </c>
      <c r="C33" t="s">
        <v>12</v>
      </c>
      <c r="D33" t="s">
        <v>13</v>
      </c>
      <c r="E33">
        <v>71</v>
      </c>
      <c r="F33">
        <v>57</v>
      </c>
      <c r="G33" s="5">
        <v>45566</v>
      </c>
      <c r="H33" t="s">
        <v>43</v>
      </c>
      <c r="I33" t="s">
        <v>38</v>
      </c>
      <c r="J33" t="s">
        <v>39</v>
      </c>
    </row>
    <row r="34" spans="1:10" x14ac:dyDescent="0.3">
      <c r="A34" t="s">
        <v>95</v>
      </c>
      <c r="B34" t="s">
        <v>96</v>
      </c>
      <c r="C34" t="s">
        <v>49</v>
      </c>
      <c r="D34" t="s">
        <v>52</v>
      </c>
      <c r="E34" s="1">
        <f ca="1">AVERAGEIF(D2:D101,D34,E2:E101)</f>
        <v>64.631578947368425</v>
      </c>
      <c r="F34">
        <v>56</v>
      </c>
      <c r="G34" s="5">
        <v>45461</v>
      </c>
      <c r="H34" t="s">
        <v>43</v>
      </c>
      <c r="I34" t="s">
        <v>22</v>
      </c>
      <c r="J34" t="s">
        <v>34</v>
      </c>
    </row>
    <row r="35" spans="1:10" x14ac:dyDescent="0.3">
      <c r="A35" t="s">
        <v>97</v>
      </c>
      <c r="B35" t="s">
        <v>98</v>
      </c>
      <c r="C35" t="s">
        <v>42</v>
      </c>
      <c r="D35" t="s">
        <v>52</v>
      </c>
      <c r="E35">
        <v>52</v>
      </c>
      <c r="F35">
        <v>97</v>
      </c>
      <c r="G35" s="5">
        <v>45306</v>
      </c>
      <c r="H35" t="s">
        <v>14</v>
      </c>
      <c r="I35" t="s">
        <v>15</v>
      </c>
      <c r="J35" t="s">
        <v>16</v>
      </c>
    </row>
    <row r="36" spans="1:10" x14ac:dyDescent="0.3">
      <c r="A36" t="s">
        <v>99</v>
      </c>
      <c r="B36" t="s">
        <v>100</v>
      </c>
      <c r="C36" t="s">
        <v>25</v>
      </c>
      <c r="D36" t="s">
        <v>13</v>
      </c>
      <c r="E36" s="1">
        <f ca="1">AVERAGEIF(D2:D101,D36,E2:E101)</f>
        <v>72.17647058823529</v>
      </c>
      <c r="F36">
        <v>85</v>
      </c>
      <c r="G36" s="5">
        <v>45351</v>
      </c>
      <c r="H36" t="s">
        <v>14</v>
      </c>
      <c r="I36" t="s">
        <v>30</v>
      </c>
      <c r="J36" t="s">
        <v>34</v>
      </c>
    </row>
    <row r="37" spans="1:10" x14ac:dyDescent="0.3">
      <c r="A37" t="s">
        <v>101</v>
      </c>
      <c r="B37" t="s">
        <v>102</v>
      </c>
      <c r="C37" t="s">
        <v>49</v>
      </c>
      <c r="D37" t="s">
        <v>29</v>
      </c>
      <c r="E37">
        <v>53</v>
      </c>
      <c r="F37">
        <v>59</v>
      </c>
      <c r="G37" s="5">
        <v>45425</v>
      </c>
      <c r="H37" t="s">
        <v>37</v>
      </c>
      <c r="I37" t="s">
        <v>22</v>
      </c>
      <c r="J37" t="s">
        <v>16</v>
      </c>
    </row>
    <row r="38" spans="1:10" x14ac:dyDescent="0.3">
      <c r="A38" t="s">
        <v>103</v>
      </c>
      <c r="B38" t="s">
        <v>104</v>
      </c>
      <c r="C38" t="s">
        <v>42</v>
      </c>
      <c r="D38" t="s">
        <v>13</v>
      </c>
      <c r="E38">
        <v>43</v>
      </c>
      <c r="F38">
        <v>67</v>
      </c>
      <c r="G38" s="5">
        <v>45383</v>
      </c>
      <c r="H38" t="s">
        <v>43</v>
      </c>
      <c r="I38" t="s">
        <v>15</v>
      </c>
      <c r="J38" t="s">
        <v>16</v>
      </c>
    </row>
    <row r="39" spans="1:10" x14ac:dyDescent="0.3">
      <c r="A39" t="s">
        <v>105</v>
      </c>
      <c r="B39" t="s">
        <v>106</v>
      </c>
      <c r="C39" t="s">
        <v>12</v>
      </c>
      <c r="D39" t="s">
        <v>20</v>
      </c>
      <c r="E39">
        <v>77</v>
      </c>
      <c r="F39">
        <v>68</v>
      </c>
      <c r="G39" s="5">
        <v>45589</v>
      </c>
      <c r="H39" t="s">
        <v>37</v>
      </c>
      <c r="I39" t="s">
        <v>38</v>
      </c>
      <c r="J39" t="s">
        <v>16</v>
      </c>
    </row>
    <row r="40" spans="1:10" x14ac:dyDescent="0.3">
      <c r="A40" t="s">
        <v>107</v>
      </c>
      <c r="B40" t="s">
        <v>108</v>
      </c>
      <c r="C40" t="s">
        <v>42</v>
      </c>
      <c r="D40" t="s">
        <v>20</v>
      </c>
      <c r="E40">
        <v>87</v>
      </c>
      <c r="F40">
        <v>88</v>
      </c>
      <c r="G40" s="5">
        <v>45427</v>
      </c>
      <c r="H40" t="s">
        <v>43</v>
      </c>
      <c r="I40" t="s">
        <v>15</v>
      </c>
      <c r="J40" t="s">
        <v>39</v>
      </c>
    </row>
    <row r="41" spans="1:10" x14ac:dyDescent="0.3">
      <c r="A41" t="s">
        <v>109</v>
      </c>
      <c r="B41" t="s">
        <v>110</v>
      </c>
      <c r="C41" t="s">
        <v>49</v>
      </c>
      <c r="D41" t="s">
        <v>13</v>
      </c>
      <c r="E41">
        <v>74</v>
      </c>
      <c r="F41">
        <v>63</v>
      </c>
      <c r="G41" s="5">
        <v>45311</v>
      </c>
      <c r="H41" t="s">
        <v>14</v>
      </c>
      <c r="I41" t="s">
        <v>15</v>
      </c>
      <c r="J41" t="s">
        <v>39</v>
      </c>
    </row>
    <row r="42" spans="1:10" x14ac:dyDescent="0.3">
      <c r="A42" t="s">
        <v>111</v>
      </c>
      <c r="B42" t="s">
        <v>112</v>
      </c>
      <c r="C42" t="s">
        <v>12</v>
      </c>
      <c r="D42" t="s">
        <v>29</v>
      </c>
      <c r="E42">
        <v>43</v>
      </c>
      <c r="F42">
        <v>95</v>
      </c>
      <c r="G42" s="5">
        <v>45347</v>
      </c>
      <c r="H42" t="s">
        <v>37</v>
      </c>
      <c r="I42" t="s">
        <v>38</v>
      </c>
      <c r="J42" t="s">
        <v>34</v>
      </c>
    </row>
    <row r="43" spans="1:10" x14ac:dyDescent="0.3">
      <c r="A43" t="s">
        <v>113</v>
      </c>
      <c r="B43" t="s">
        <v>114</v>
      </c>
      <c r="C43" t="s">
        <v>19</v>
      </c>
      <c r="D43" t="s">
        <v>29</v>
      </c>
      <c r="E43">
        <v>87</v>
      </c>
      <c r="F43" s="1">
        <f ca="1">AVERAGEIF(D40:D139,D43,F40:F139)</f>
        <v>78.545454545454547</v>
      </c>
      <c r="G43" s="5">
        <v>45514</v>
      </c>
      <c r="H43" t="s">
        <v>21</v>
      </c>
      <c r="I43" t="s">
        <v>15</v>
      </c>
      <c r="J43" t="s">
        <v>16</v>
      </c>
    </row>
    <row r="44" spans="1:10" x14ac:dyDescent="0.3">
      <c r="A44" t="s">
        <v>115</v>
      </c>
      <c r="B44" t="s">
        <v>116</v>
      </c>
      <c r="C44" t="s">
        <v>25</v>
      </c>
      <c r="D44" t="s">
        <v>33</v>
      </c>
      <c r="E44">
        <v>60</v>
      </c>
      <c r="F44">
        <v>63</v>
      </c>
      <c r="G44" s="5">
        <v>45468</v>
      </c>
      <c r="H44" t="s">
        <v>21</v>
      </c>
      <c r="I44" t="s">
        <v>30</v>
      </c>
      <c r="J44" t="s">
        <v>34</v>
      </c>
    </row>
    <row r="45" spans="1:10" x14ac:dyDescent="0.3">
      <c r="A45" t="s">
        <v>117</v>
      </c>
      <c r="B45" t="s">
        <v>118</v>
      </c>
      <c r="C45" t="s">
        <v>25</v>
      </c>
      <c r="D45" t="s">
        <v>52</v>
      </c>
      <c r="E45">
        <v>43</v>
      </c>
      <c r="F45">
        <v>93</v>
      </c>
      <c r="G45" s="5">
        <v>45452</v>
      </c>
      <c r="H45" t="s">
        <v>14</v>
      </c>
      <c r="I45" t="s">
        <v>15</v>
      </c>
      <c r="J45" t="s">
        <v>16</v>
      </c>
    </row>
    <row r="46" spans="1:10" x14ac:dyDescent="0.3">
      <c r="A46" t="s">
        <v>119</v>
      </c>
      <c r="B46" t="s">
        <v>120</v>
      </c>
      <c r="C46" t="s">
        <v>19</v>
      </c>
      <c r="D46" t="s">
        <v>29</v>
      </c>
      <c r="E46">
        <v>43</v>
      </c>
      <c r="F46">
        <v>90</v>
      </c>
      <c r="G46" s="5">
        <v>45515</v>
      </c>
      <c r="H46" t="s">
        <v>14</v>
      </c>
      <c r="I46" t="s">
        <v>38</v>
      </c>
      <c r="J46" t="s">
        <v>39</v>
      </c>
    </row>
    <row r="47" spans="1:10" x14ac:dyDescent="0.3">
      <c r="A47" t="s">
        <v>121</v>
      </c>
      <c r="B47" t="s">
        <v>122</v>
      </c>
      <c r="C47" t="s">
        <v>25</v>
      </c>
      <c r="D47" t="s">
        <v>33</v>
      </c>
      <c r="E47">
        <v>77</v>
      </c>
      <c r="F47">
        <v>66</v>
      </c>
      <c r="G47" s="5">
        <v>45553</v>
      </c>
      <c r="H47" t="s">
        <v>37</v>
      </c>
      <c r="I47" t="s">
        <v>30</v>
      </c>
      <c r="J47" t="s">
        <v>16</v>
      </c>
    </row>
    <row r="48" spans="1:10" x14ac:dyDescent="0.3">
      <c r="A48" t="s">
        <v>123</v>
      </c>
      <c r="B48" t="s">
        <v>124</v>
      </c>
      <c r="C48" t="s">
        <v>19</v>
      </c>
      <c r="D48" t="s">
        <v>29</v>
      </c>
      <c r="E48">
        <v>70</v>
      </c>
      <c r="F48">
        <v>82</v>
      </c>
      <c r="G48" s="5">
        <v>45351</v>
      </c>
      <c r="H48" t="s">
        <v>14</v>
      </c>
      <c r="I48" t="s">
        <v>15</v>
      </c>
      <c r="J48" t="s">
        <v>39</v>
      </c>
    </row>
    <row r="49" spans="1:10" x14ac:dyDescent="0.3">
      <c r="A49" t="s">
        <v>125</v>
      </c>
      <c r="B49" t="s">
        <v>126</v>
      </c>
      <c r="C49" t="s">
        <v>25</v>
      </c>
      <c r="D49" t="s">
        <v>20</v>
      </c>
      <c r="E49">
        <v>72</v>
      </c>
      <c r="F49">
        <v>81</v>
      </c>
      <c r="G49" s="5">
        <v>45489</v>
      </c>
      <c r="H49" t="s">
        <v>21</v>
      </c>
      <c r="I49" t="s">
        <v>22</v>
      </c>
      <c r="J49" t="s">
        <v>39</v>
      </c>
    </row>
    <row r="50" spans="1:10" x14ac:dyDescent="0.3">
      <c r="A50" t="s">
        <v>127</v>
      </c>
      <c r="B50" t="s">
        <v>128</v>
      </c>
      <c r="C50" t="s">
        <v>12</v>
      </c>
      <c r="D50" t="s">
        <v>33</v>
      </c>
      <c r="E50">
        <v>98</v>
      </c>
      <c r="F50">
        <v>66</v>
      </c>
      <c r="G50" s="5">
        <v>45587</v>
      </c>
      <c r="H50" t="s">
        <v>26</v>
      </c>
      <c r="I50" t="s">
        <v>46</v>
      </c>
      <c r="J50" t="s">
        <v>16</v>
      </c>
    </row>
    <row r="51" spans="1:10" x14ac:dyDescent="0.3">
      <c r="A51" t="s">
        <v>129</v>
      </c>
      <c r="B51" t="s">
        <v>130</v>
      </c>
      <c r="C51" t="s">
        <v>25</v>
      </c>
      <c r="D51" t="s">
        <v>33</v>
      </c>
      <c r="E51">
        <v>94</v>
      </c>
      <c r="F51">
        <v>53</v>
      </c>
      <c r="G51" s="5">
        <v>45389</v>
      </c>
      <c r="H51" t="s">
        <v>21</v>
      </c>
      <c r="I51" t="s">
        <v>22</v>
      </c>
      <c r="J51" t="s">
        <v>39</v>
      </c>
    </row>
    <row r="52" spans="1:10" x14ac:dyDescent="0.3">
      <c r="A52" t="s">
        <v>131</v>
      </c>
      <c r="B52" t="s">
        <v>132</v>
      </c>
      <c r="C52" t="s">
        <v>25</v>
      </c>
      <c r="D52" t="s">
        <v>52</v>
      </c>
      <c r="E52">
        <v>73</v>
      </c>
      <c r="F52">
        <v>55</v>
      </c>
      <c r="G52" s="5">
        <v>45422</v>
      </c>
      <c r="H52" t="s">
        <v>21</v>
      </c>
      <c r="I52" t="s">
        <v>46</v>
      </c>
      <c r="J52" t="s">
        <v>34</v>
      </c>
    </row>
    <row r="53" spans="1:10" x14ac:dyDescent="0.3">
      <c r="A53" t="s">
        <v>133</v>
      </c>
      <c r="B53" t="s">
        <v>134</v>
      </c>
      <c r="C53" t="s">
        <v>25</v>
      </c>
      <c r="D53" t="s">
        <v>20</v>
      </c>
      <c r="E53">
        <v>50</v>
      </c>
      <c r="F53">
        <v>90</v>
      </c>
      <c r="G53" s="5">
        <v>45314</v>
      </c>
      <c r="H53" t="s">
        <v>21</v>
      </c>
      <c r="I53" t="s">
        <v>22</v>
      </c>
      <c r="J53" t="s">
        <v>39</v>
      </c>
    </row>
    <row r="54" spans="1:10" x14ac:dyDescent="0.3">
      <c r="A54" t="s">
        <v>135</v>
      </c>
      <c r="B54" t="s">
        <v>136</v>
      </c>
      <c r="C54" t="s">
        <v>25</v>
      </c>
      <c r="D54" t="s">
        <v>29</v>
      </c>
      <c r="E54">
        <v>43</v>
      </c>
      <c r="F54">
        <v>77</v>
      </c>
      <c r="G54" s="5">
        <v>45515</v>
      </c>
      <c r="H54" t="s">
        <v>37</v>
      </c>
      <c r="I54" t="s">
        <v>30</v>
      </c>
      <c r="J54" t="s">
        <v>34</v>
      </c>
    </row>
    <row r="55" spans="1:10" x14ac:dyDescent="0.3">
      <c r="A55" t="s">
        <v>137</v>
      </c>
      <c r="B55" t="s">
        <v>138</v>
      </c>
      <c r="C55" t="s">
        <v>42</v>
      </c>
      <c r="D55" t="s">
        <v>29</v>
      </c>
      <c r="E55">
        <v>72</v>
      </c>
      <c r="F55">
        <v>67</v>
      </c>
      <c r="G55" s="5">
        <v>45292</v>
      </c>
      <c r="H55" t="s">
        <v>26</v>
      </c>
      <c r="I55" t="s">
        <v>30</v>
      </c>
      <c r="J55" t="s">
        <v>16</v>
      </c>
    </row>
    <row r="56" spans="1:10" x14ac:dyDescent="0.3">
      <c r="A56" t="s">
        <v>139</v>
      </c>
      <c r="B56" t="s">
        <v>140</v>
      </c>
      <c r="C56" t="s">
        <v>12</v>
      </c>
      <c r="D56" t="s">
        <v>13</v>
      </c>
      <c r="E56">
        <v>45</v>
      </c>
      <c r="F56">
        <v>52</v>
      </c>
      <c r="G56" s="5">
        <v>45558</v>
      </c>
      <c r="H56" t="s">
        <v>21</v>
      </c>
      <c r="I56" t="s">
        <v>38</v>
      </c>
      <c r="J56" t="s">
        <v>34</v>
      </c>
    </row>
    <row r="57" spans="1:10" x14ac:dyDescent="0.3">
      <c r="A57" t="s">
        <v>141</v>
      </c>
      <c r="B57" t="s">
        <v>230</v>
      </c>
      <c r="C57" t="s">
        <v>12</v>
      </c>
      <c r="D57" t="s">
        <v>33</v>
      </c>
      <c r="E57">
        <v>94</v>
      </c>
      <c r="F57">
        <v>50</v>
      </c>
      <c r="G57" s="5">
        <v>45567</v>
      </c>
      <c r="H57" t="s">
        <v>14</v>
      </c>
      <c r="I57" t="s">
        <v>30</v>
      </c>
      <c r="J57" t="s">
        <v>39</v>
      </c>
    </row>
    <row r="58" spans="1:10" x14ac:dyDescent="0.3">
      <c r="A58" t="s">
        <v>142</v>
      </c>
      <c r="B58" t="s">
        <v>143</v>
      </c>
      <c r="C58" t="s">
        <v>19</v>
      </c>
      <c r="D58" t="s">
        <v>33</v>
      </c>
      <c r="E58">
        <v>51</v>
      </c>
      <c r="F58" s="1">
        <f ca="1">AVERAGEIF(D2:D101,D58,F2:F101)</f>
        <v>65.78947368421052</v>
      </c>
      <c r="G58" s="5">
        <v>45392</v>
      </c>
      <c r="H58" t="s">
        <v>14</v>
      </c>
      <c r="I58" t="s">
        <v>15</v>
      </c>
      <c r="J58" t="s">
        <v>16</v>
      </c>
    </row>
    <row r="59" spans="1:10" x14ac:dyDescent="0.3">
      <c r="A59" t="s">
        <v>144</v>
      </c>
      <c r="B59" t="s">
        <v>145</v>
      </c>
      <c r="C59" t="s">
        <v>12</v>
      </c>
      <c r="D59" t="s">
        <v>29</v>
      </c>
      <c r="E59">
        <v>44</v>
      </c>
      <c r="F59">
        <v>99</v>
      </c>
      <c r="G59" s="5">
        <v>45478</v>
      </c>
      <c r="H59" t="s">
        <v>26</v>
      </c>
      <c r="I59" t="s">
        <v>30</v>
      </c>
      <c r="J59" t="s">
        <v>16</v>
      </c>
    </row>
    <row r="60" spans="1:10" x14ac:dyDescent="0.3">
      <c r="A60" t="s">
        <v>146</v>
      </c>
      <c r="B60" t="s">
        <v>147</v>
      </c>
      <c r="C60" t="s">
        <v>19</v>
      </c>
      <c r="D60" t="s">
        <v>33</v>
      </c>
      <c r="E60">
        <v>78</v>
      </c>
      <c r="F60">
        <v>58</v>
      </c>
      <c r="G60" s="5">
        <v>45512</v>
      </c>
      <c r="H60" t="s">
        <v>37</v>
      </c>
      <c r="I60" t="s">
        <v>15</v>
      </c>
      <c r="J60" t="s">
        <v>16</v>
      </c>
    </row>
    <row r="61" spans="1:10" x14ac:dyDescent="0.3">
      <c r="A61" t="s">
        <v>148</v>
      </c>
      <c r="B61" t="s">
        <v>149</v>
      </c>
      <c r="C61" t="s">
        <v>25</v>
      </c>
      <c r="D61" t="s">
        <v>33</v>
      </c>
      <c r="E61">
        <v>44</v>
      </c>
      <c r="F61">
        <v>90</v>
      </c>
      <c r="G61" s="5">
        <v>45327</v>
      </c>
      <c r="H61" t="s">
        <v>37</v>
      </c>
      <c r="I61" t="s">
        <v>46</v>
      </c>
      <c r="J61" t="s">
        <v>34</v>
      </c>
    </row>
    <row r="62" spans="1:10" x14ac:dyDescent="0.3">
      <c r="A62" t="s">
        <v>150</v>
      </c>
      <c r="B62" t="s">
        <v>151</v>
      </c>
      <c r="C62" t="s">
        <v>42</v>
      </c>
      <c r="D62" t="s">
        <v>13</v>
      </c>
      <c r="E62">
        <v>83</v>
      </c>
      <c r="F62">
        <v>66</v>
      </c>
      <c r="G62" s="5">
        <v>45461</v>
      </c>
      <c r="H62" t="s">
        <v>37</v>
      </c>
      <c r="I62" t="s">
        <v>15</v>
      </c>
      <c r="J62" t="s">
        <v>34</v>
      </c>
    </row>
    <row r="63" spans="1:10" x14ac:dyDescent="0.3">
      <c r="A63" t="s">
        <v>152</v>
      </c>
      <c r="B63" t="s">
        <v>153</v>
      </c>
      <c r="C63" t="s">
        <v>12</v>
      </c>
      <c r="D63" t="s">
        <v>20</v>
      </c>
      <c r="E63">
        <v>95</v>
      </c>
      <c r="F63">
        <v>60</v>
      </c>
      <c r="G63" s="5">
        <v>45452</v>
      </c>
      <c r="H63" t="s">
        <v>21</v>
      </c>
      <c r="I63" t="s">
        <v>30</v>
      </c>
      <c r="J63" t="s">
        <v>39</v>
      </c>
    </row>
    <row r="64" spans="1:10" x14ac:dyDescent="0.3">
      <c r="A64" t="s">
        <v>154</v>
      </c>
      <c r="B64" t="s">
        <v>155</v>
      </c>
      <c r="C64" t="s">
        <v>49</v>
      </c>
      <c r="D64" t="s">
        <v>33</v>
      </c>
      <c r="E64">
        <v>55</v>
      </c>
      <c r="F64">
        <v>97</v>
      </c>
      <c r="G64" s="5">
        <v>45355</v>
      </c>
      <c r="H64" t="s">
        <v>37</v>
      </c>
      <c r="I64" t="s">
        <v>22</v>
      </c>
      <c r="J64" t="s">
        <v>16</v>
      </c>
    </row>
    <row r="65" spans="1:10" x14ac:dyDescent="0.3">
      <c r="A65" t="s">
        <v>156</v>
      </c>
      <c r="B65" t="s">
        <v>157</v>
      </c>
      <c r="C65" t="s">
        <v>12</v>
      </c>
      <c r="D65" t="s">
        <v>52</v>
      </c>
      <c r="E65" s="1">
        <f ca="1">AVERAGEIF(D33:D132,D65,E33:E132)</f>
        <v>64.631578947368425</v>
      </c>
      <c r="F65">
        <v>78</v>
      </c>
      <c r="G65" s="5">
        <v>45445</v>
      </c>
      <c r="H65" t="s">
        <v>43</v>
      </c>
      <c r="I65" t="s">
        <v>30</v>
      </c>
      <c r="J65" t="s">
        <v>16</v>
      </c>
    </row>
    <row r="66" spans="1:10" x14ac:dyDescent="0.3">
      <c r="A66" t="s">
        <v>158</v>
      </c>
      <c r="B66" t="s">
        <v>159</v>
      </c>
      <c r="C66" t="s">
        <v>42</v>
      </c>
      <c r="D66" t="s">
        <v>52</v>
      </c>
      <c r="E66">
        <v>47</v>
      </c>
      <c r="F66">
        <f ca="1">AVERAGEIF(D2:D101,D66,F2:F101)</f>
        <v>69.45</v>
      </c>
      <c r="G66" s="5">
        <v>45551</v>
      </c>
      <c r="H66" t="s">
        <v>37</v>
      </c>
      <c r="I66" t="s">
        <v>46</v>
      </c>
      <c r="J66" t="s">
        <v>34</v>
      </c>
    </row>
    <row r="67" spans="1:10" x14ac:dyDescent="0.3">
      <c r="A67" t="s">
        <v>160</v>
      </c>
      <c r="B67" t="s">
        <v>161</v>
      </c>
      <c r="C67" t="s">
        <v>12</v>
      </c>
      <c r="D67" t="s">
        <v>13</v>
      </c>
      <c r="E67">
        <v>100</v>
      </c>
      <c r="F67">
        <v>95</v>
      </c>
      <c r="G67" s="5">
        <v>45450</v>
      </c>
      <c r="H67" t="s">
        <v>14</v>
      </c>
      <c r="I67" t="s">
        <v>46</v>
      </c>
      <c r="J67" t="s">
        <v>34</v>
      </c>
    </row>
    <row r="68" spans="1:10" x14ac:dyDescent="0.3">
      <c r="A68" t="s">
        <v>162</v>
      </c>
      <c r="B68" t="s">
        <v>163</v>
      </c>
      <c r="C68" t="s">
        <v>25</v>
      </c>
      <c r="D68" t="s">
        <v>33</v>
      </c>
      <c r="E68">
        <v>96</v>
      </c>
      <c r="F68">
        <v>77</v>
      </c>
      <c r="G68" s="5">
        <v>45501</v>
      </c>
      <c r="H68" t="s">
        <v>43</v>
      </c>
      <c r="I68" t="s">
        <v>46</v>
      </c>
      <c r="J68" t="s">
        <v>39</v>
      </c>
    </row>
    <row r="69" spans="1:10" x14ac:dyDescent="0.3">
      <c r="A69" t="s">
        <v>164</v>
      </c>
      <c r="B69" t="s">
        <v>165</v>
      </c>
      <c r="C69" t="s">
        <v>19</v>
      </c>
      <c r="D69" t="s">
        <v>20</v>
      </c>
      <c r="E69">
        <v>76</v>
      </c>
      <c r="F69">
        <v>85</v>
      </c>
      <c r="G69" s="5">
        <v>45459</v>
      </c>
      <c r="H69" t="s">
        <v>14</v>
      </c>
      <c r="I69" t="s">
        <v>15</v>
      </c>
      <c r="J69" t="s">
        <v>39</v>
      </c>
    </row>
    <row r="70" spans="1:10" x14ac:dyDescent="0.3">
      <c r="A70" t="s">
        <v>166</v>
      </c>
      <c r="B70" t="s">
        <v>167</v>
      </c>
      <c r="C70" t="s">
        <v>25</v>
      </c>
      <c r="D70" t="s">
        <v>33</v>
      </c>
      <c r="E70">
        <v>55</v>
      </c>
      <c r="F70">
        <v>50</v>
      </c>
      <c r="G70" s="5">
        <v>45498</v>
      </c>
      <c r="H70" t="s">
        <v>21</v>
      </c>
      <c r="I70" t="s">
        <v>22</v>
      </c>
      <c r="J70" t="s">
        <v>16</v>
      </c>
    </row>
    <row r="71" spans="1:10" x14ac:dyDescent="0.3">
      <c r="A71" t="s">
        <v>168</v>
      </c>
      <c r="B71" t="s">
        <v>231</v>
      </c>
      <c r="C71" t="s">
        <v>25</v>
      </c>
      <c r="D71" t="s">
        <v>13</v>
      </c>
      <c r="E71">
        <v>77</v>
      </c>
      <c r="F71">
        <v>57</v>
      </c>
      <c r="G71" s="5">
        <v>45443</v>
      </c>
      <c r="H71" t="s">
        <v>26</v>
      </c>
      <c r="I71" t="s">
        <v>30</v>
      </c>
      <c r="J71" t="s">
        <v>39</v>
      </c>
    </row>
    <row r="72" spans="1:10" x14ac:dyDescent="0.3">
      <c r="A72" t="s">
        <v>169</v>
      </c>
      <c r="B72" t="s">
        <v>170</v>
      </c>
      <c r="C72" t="s">
        <v>25</v>
      </c>
      <c r="D72" t="s">
        <v>52</v>
      </c>
      <c r="E72">
        <v>78</v>
      </c>
      <c r="F72">
        <v>54</v>
      </c>
      <c r="G72" s="5">
        <v>45575</v>
      </c>
      <c r="H72" t="s">
        <v>21</v>
      </c>
      <c r="I72" t="s">
        <v>30</v>
      </c>
      <c r="J72" t="s">
        <v>39</v>
      </c>
    </row>
    <row r="73" spans="1:10" x14ac:dyDescent="0.3">
      <c r="A73" t="s">
        <v>171</v>
      </c>
      <c r="B73" t="s">
        <v>172</v>
      </c>
      <c r="C73" t="s">
        <v>42</v>
      </c>
      <c r="D73" t="s">
        <v>29</v>
      </c>
      <c r="E73">
        <v>42</v>
      </c>
      <c r="F73">
        <v>94</v>
      </c>
      <c r="G73" s="5">
        <v>45357</v>
      </c>
      <c r="H73" t="s">
        <v>14</v>
      </c>
      <c r="I73" t="s">
        <v>38</v>
      </c>
      <c r="J73" t="s">
        <v>39</v>
      </c>
    </row>
    <row r="74" spans="1:10" x14ac:dyDescent="0.3">
      <c r="A74" t="s">
        <v>173</v>
      </c>
      <c r="B74" t="s">
        <v>174</v>
      </c>
      <c r="C74" t="s">
        <v>42</v>
      </c>
      <c r="D74" t="s">
        <v>29</v>
      </c>
      <c r="E74">
        <v>79</v>
      </c>
      <c r="F74">
        <v>59</v>
      </c>
      <c r="G74" s="5">
        <v>45390</v>
      </c>
      <c r="H74" t="s">
        <v>43</v>
      </c>
      <c r="I74" t="s">
        <v>30</v>
      </c>
      <c r="J74" t="s">
        <v>39</v>
      </c>
    </row>
    <row r="75" spans="1:10" x14ac:dyDescent="0.3">
      <c r="A75" t="s">
        <v>175</v>
      </c>
      <c r="B75" t="s">
        <v>176</v>
      </c>
      <c r="C75" t="s">
        <v>25</v>
      </c>
      <c r="D75" t="s">
        <v>20</v>
      </c>
      <c r="E75">
        <v>45</v>
      </c>
      <c r="F75">
        <v>84</v>
      </c>
      <c r="G75" s="5">
        <v>45507</v>
      </c>
      <c r="H75" t="s">
        <v>43</v>
      </c>
      <c r="I75" t="s">
        <v>22</v>
      </c>
      <c r="J75" t="s">
        <v>16</v>
      </c>
    </row>
    <row r="76" spans="1:10" x14ac:dyDescent="0.3">
      <c r="A76" t="s">
        <v>177</v>
      </c>
      <c r="B76" t="s">
        <v>178</v>
      </c>
      <c r="C76" t="s">
        <v>12</v>
      </c>
      <c r="D76" t="s">
        <v>52</v>
      </c>
      <c r="E76">
        <v>66</v>
      </c>
      <c r="F76">
        <v>52</v>
      </c>
      <c r="G76" s="5">
        <v>45486</v>
      </c>
      <c r="H76" t="s">
        <v>37</v>
      </c>
      <c r="I76" t="s">
        <v>46</v>
      </c>
      <c r="J76" t="s">
        <v>16</v>
      </c>
    </row>
    <row r="77" spans="1:10" x14ac:dyDescent="0.3">
      <c r="A77" t="s">
        <v>179</v>
      </c>
      <c r="B77" t="s">
        <v>180</v>
      </c>
      <c r="C77" t="s">
        <v>25</v>
      </c>
      <c r="D77" t="s">
        <v>13</v>
      </c>
      <c r="E77">
        <v>82</v>
      </c>
      <c r="F77">
        <v>73</v>
      </c>
      <c r="G77" s="5">
        <v>45381</v>
      </c>
      <c r="H77" t="s">
        <v>14</v>
      </c>
      <c r="I77" t="s">
        <v>15</v>
      </c>
      <c r="J77" t="s">
        <v>39</v>
      </c>
    </row>
    <row r="78" spans="1:10" x14ac:dyDescent="0.3">
      <c r="A78" t="s">
        <v>181</v>
      </c>
      <c r="B78" t="s">
        <v>182</v>
      </c>
      <c r="C78" t="s">
        <v>42</v>
      </c>
      <c r="D78" t="s">
        <v>13</v>
      </c>
      <c r="E78" s="1">
        <f ca="1">AVERAGEIF(D44:D143,D78,E44:E143)</f>
        <v>72.17647058823529</v>
      </c>
      <c r="F78">
        <v>87</v>
      </c>
      <c r="G78" s="5">
        <v>45583</v>
      </c>
      <c r="H78" t="s">
        <v>37</v>
      </c>
      <c r="I78" t="s">
        <v>22</v>
      </c>
      <c r="J78" t="s">
        <v>39</v>
      </c>
    </row>
    <row r="79" spans="1:10" x14ac:dyDescent="0.3">
      <c r="A79" t="s">
        <v>183</v>
      </c>
      <c r="B79" t="s">
        <v>232</v>
      </c>
      <c r="C79" t="s">
        <v>49</v>
      </c>
      <c r="D79" t="s">
        <v>29</v>
      </c>
      <c r="E79">
        <v>76</v>
      </c>
      <c r="F79">
        <v>85</v>
      </c>
      <c r="G79" s="5">
        <v>45446</v>
      </c>
      <c r="H79" t="s">
        <v>14</v>
      </c>
      <c r="I79" t="s">
        <v>38</v>
      </c>
      <c r="J79" t="s">
        <v>34</v>
      </c>
    </row>
    <row r="80" spans="1:10" x14ac:dyDescent="0.3">
      <c r="A80" t="s">
        <v>184</v>
      </c>
      <c r="B80" t="s">
        <v>185</v>
      </c>
      <c r="C80" t="s">
        <v>25</v>
      </c>
      <c r="D80" t="s">
        <v>29</v>
      </c>
      <c r="E80">
        <v>73</v>
      </c>
      <c r="F80">
        <v>59</v>
      </c>
      <c r="G80" s="5">
        <v>45499</v>
      </c>
      <c r="H80" t="s">
        <v>21</v>
      </c>
      <c r="I80" t="s">
        <v>30</v>
      </c>
      <c r="J80" t="s">
        <v>34</v>
      </c>
    </row>
    <row r="81" spans="1:10" x14ac:dyDescent="0.3">
      <c r="A81" t="s">
        <v>186</v>
      </c>
      <c r="B81" t="s">
        <v>187</v>
      </c>
      <c r="C81" t="s">
        <v>25</v>
      </c>
      <c r="D81" t="s">
        <v>29</v>
      </c>
      <c r="E81">
        <v>60</v>
      </c>
      <c r="F81">
        <v>77</v>
      </c>
      <c r="G81" s="5">
        <v>45572</v>
      </c>
      <c r="H81" t="s">
        <v>21</v>
      </c>
      <c r="I81" t="s">
        <v>38</v>
      </c>
      <c r="J81" t="s">
        <v>16</v>
      </c>
    </row>
    <row r="82" spans="1:10" x14ac:dyDescent="0.3">
      <c r="A82" t="s">
        <v>188</v>
      </c>
      <c r="B82" t="s">
        <v>189</v>
      </c>
      <c r="C82" t="s">
        <v>49</v>
      </c>
      <c r="D82" t="s">
        <v>20</v>
      </c>
      <c r="E82">
        <v>99</v>
      </c>
      <c r="F82">
        <v>58</v>
      </c>
      <c r="G82" s="5">
        <v>45292</v>
      </c>
      <c r="H82" t="s">
        <v>37</v>
      </c>
      <c r="I82" t="s">
        <v>22</v>
      </c>
      <c r="J82" t="s">
        <v>34</v>
      </c>
    </row>
    <row r="83" spans="1:10" x14ac:dyDescent="0.3">
      <c r="A83" t="s">
        <v>190</v>
      </c>
      <c r="B83" t="s">
        <v>191</v>
      </c>
      <c r="C83" t="s">
        <v>25</v>
      </c>
      <c r="D83" t="s">
        <v>20</v>
      </c>
      <c r="E83">
        <v>56</v>
      </c>
      <c r="F83">
        <v>52</v>
      </c>
      <c r="G83" s="5">
        <v>45447</v>
      </c>
      <c r="H83" t="s">
        <v>26</v>
      </c>
      <c r="I83" t="s">
        <v>15</v>
      </c>
      <c r="J83" t="s">
        <v>34</v>
      </c>
    </row>
    <row r="84" spans="1:10" x14ac:dyDescent="0.3">
      <c r="A84" t="s">
        <v>192</v>
      </c>
      <c r="B84" t="s">
        <v>193</v>
      </c>
      <c r="C84" t="s">
        <v>49</v>
      </c>
      <c r="D84" t="s">
        <v>52</v>
      </c>
      <c r="E84">
        <v>53</v>
      </c>
      <c r="F84">
        <v>69</v>
      </c>
      <c r="G84" s="5">
        <v>45438</v>
      </c>
      <c r="H84" t="s">
        <v>21</v>
      </c>
      <c r="I84" t="s">
        <v>22</v>
      </c>
      <c r="J84" t="s">
        <v>34</v>
      </c>
    </row>
    <row r="85" spans="1:10" x14ac:dyDescent="0.3">
      <c r="A85" t="s">
        <v>194</v>
      </c>
      <c r="B85" t="s">
        <v>195</v>
      </c>
      <c r="C85" t="s">
        <v>42</v>
      </c>
      <c r="D85" t="s">
        <v>13</v>
      </c>
      <c r="E85">
        <v>82</v>
      </c>
      <c r="F85">
        <v>73</v>
      </c>
      <c r="G85" s="5">
        <v>45399</v>
      </c>
      <c r="H85" t="s">
        <v>14</v>
      </c>
      <c r="I85" t="s">
        <v>30</v>
      </c>
      <c r="J85" t="s">
        <v>16</v>
      </c>
    </row>
    <row r="86" spans="1:10" x14ac:dyDescent="0.3">
      <c r="A86" t="s">
        <v>196</v>
      </c>
      <c r="B86" t="s">
        <v>197</v>
      </c>
      <c r="C86" t="s">
        <v>25</v>
      </c>
      <c r="D86" t="s">
        <v>29</v>
      </c>
      <c r="E86">
        <v>85</v>
      </c>
      <c r="F86">
        <v>100</v>
      </c>
      <c r="G86" s="5">
        <v>45512</v>
      </c>
      <c r="H86" t="s">
        <v>37</v>
      </c>
      <c r="I86" t="s">
        <v>15</v>
      </c>
      <c r="J86" t="s">
        <v>16</v>
      </c>
    </row>
    <row r="87" spans="1:10" x14ac:dyDescent="0.3">
      <c r="A87" t="s">
        <v>198</v>
      </c>
      <c r="B87" t="s">
        <v>199</v>
      </c>
      <c r="C87" t="s">
        <v>25</v>
      </c>
      <c r="D87" t="s">
        <v>33</v>
      </c>
      <c r="E87">
        <v>60</v>
      </c>
      <c r="F87">
        <v>52</v>
      </c>
      <c r="G87" s="5">
        <v>45588</v>
      </c>
      <c r="H87" t="s">
        <v>26</v>
      </c>
      <c r="I87" t="s">
        <v>22</v>
      </c>
      <c r="J87" t="s">
        <v>34</v>
      </c>
    </row>
    <row r="88" spans="1:10" x14ac:dyDescent="0.3">
      <c r="A88" t="s">
        <v>200</v>
      </c>
      <c r="B88" t="s">
        <v>201</v>
      </c>
      <c r="C88" t="s">
        <v>42</v>
      </c>
      <c r="D88" t="s">
        <v>52</v>
      </c>
      <c r="E88">
        <v>55</v>
      </c>
      <c r="F88">
        <v>72</v>
      </c>
      <c r="G88" s="5">
        <v>45456</v>
      </c>
      <c r="H88" t="s">
        <v>37</v>
      </c>
      <c r="I88" t="s">
        <v>38</v>
      </c>
      <c r="J88" t="s">
        <v>16</v>
      </c>
    </row>
    <row r="89" spans="1:10" x14ac:dyDescent="0.3">
      <c r="A89" t="s">
        <v>202</v>
      </c>
      <c r="B89" t="s">
        <v>203</v>
      </c>
      <c r="C89" t="s">
        <v>49</v>
      </c>
      <c r="D89" t="s">
        <v>33</v>
      </c>
      <c r="E89">
        <v>56</v>
      </c>
      <c r="F89">
        <v>63</v>
      </c>
      <c r="G89" s="5">
        <v>45530</v>
      </c>
      <c r="H89" t="s">
        <v>26</v>
      </c>
      <c r="I89" t="s">
        <v>30</v>
      </c>
      <c r="J89" t="s">
        <v>16</v>
      </c>
    </row>
    <row r="90" spans="1:10" x14ac:dyDescent="0.3">
      <c r="A90" t="s">
        <v>204</v>
      </c>
      <c r="B90" t="s">
        <v>205</v>
      </c>
      <c r="C90" t="s">
        <v>19</v>
      </c>
      <c r="D90" t="s">
        <v>13</v>
      </c>
      <c r="E90">
        <v>65</v>
      </c>
      <c r="F90">
        <v>93</v>
      </c>
      <c r="G90" s="5">
        <v>45518</v>
      </c>
      <c r="H90" t="s">
        <v>14</v>
      </c>
      <c r="I90" t="s">
        <v>38</v>
      </c>
      <c r="J90" t="s">
        <v>16</v>
      </c>
    </row>
    <row r="91" spans="1:10" x14ac:dyDescent="0.3">
      <c r="A91" t="s">
        <v>206</v>
      </c>
      <c r="B91" t="s">
        <v>207</v>
      </c>
      <c r="C91" t="s">
        <v>19</v>
      </c>
      <c r="D91" t="s">
        <v>29</v>
      </c>
      <c r="E91">
        <v>48</v>
      </c>
      <c r="F91">
        <v>65</v>
      </c>
      <c r="G91" s="5">
        <v>45518</v>
      </c>
      <c r="H91" t="s">
        <v>26</v>
      </c>
      <c r="I91" t="s">
        <v>15</v>
      </c>
      <c r="J91" t="s">
        <v>34</v>
      </c>
    </row>
    <row r="92" spans="1:10" x14ac:dyDescent="0.3">
      <c r="A92" t="s">
        <v>208</v>
      </c>
      <c r="B92" t="s">
        <v>209</v>
      </c>
      <c r="C92" t="s">
        <v>19</v>
      </c>
      <c r="D92" t="s">
        <v>29</v>
      </c>
      <c r="E92">
        <v>82</v>
      </c>
      <c r="F92">
        <v>92</v>
      </c>
      <c r="G92" s="5">
        <v>45401</v>
      </c>
      <c r="H92" t="s">
        <v>21</v>
      </c>
      <c r="I92" t="s">
        <v>46</v>
      </c>
      <c r="J92" t="s">
        <v>34</v>
      </c>
    </row>
    <row r="93" spans="1:10" x14ac:dyDescent="0.3">
      <c r="A93" t="s">
        <v>210</v>
      </c>
      <c r="B93" t="s">
        <v>211</v>
      </c>
      <c r="C93" t="s">
        <v>12</v>
      </c>
      <c r="D93" t="s">
        <v>33</v>
      </c>
      <c r="E93">
        <v>81</v>
      </c>
      <c r="F93">
        <v>56</v>
      </c>
      <c r="G93" s="5">
        <v>45553</v>
      </c>
      <c r="H93" t="s">
        <v>37</v>
      </c>
      <c r="I93" t="s">
        <v>15</v>
      </c>
      <c r="J93" t="s">
        <v>39</v>
      </c>
    </row>
    <row r="94" spans="1:10" x14ac:dyDescent="0.3">
      <c r="A94" t="s">
        <v>212</v>
      </c>
      <c r="B94" t="s">
        <v>213</v>
      </c>
      <c r="C94" t="s">
        <v>12</v>
      </c>
      <c r="D94" t="s">
        <v>33</v>
      </c>
      <c r="E94">
        <v>59</v>
      </c>
      <c r="F94">
        <v>72</v>
      </c>
      <c r="G94" s="5">
        <v>45534</v>
      </c>
      <c r="H94" t="s">
        <v>26</v>
      </c>
      <c r="I94" t="s">
        <v>15</v>
      </c>
      <c r="J94" t="s">
        <v>39</v>
      </c>
    </row>
    <row r="95" spans="1:10" x14ac:dyDescent="0.3">
      <c r="A95" t="s">
        <v>214</v>
      </c>
      <c r="B95" t="s">
        <v>215</v>
      </c>
      <c r="C95" t="s">
        <v>49</v>
      </c>
      <c r="D95" t="s">
        <v>52</v>
      </c>
      <c r="E95">
        <v>69</v>
      </c>
      <c r="F95">
        <v>99</v>
      </c>
      <c r="G95" s="5">
        <v>45378</v>
      </c>
      <c r="H95" t="s">
        <v>14</v>
      </c>
      <c r="I95" t="s">
        <v>15</v>
      </c>
      <c r="J95" t="s">
        <v>39</v>
      </c>
    </row>
    <row r="96" spans="1:10" x14ac:dyDescent="0.3">
      <c r="A96" t="s">
        <v>216</v>
      </c>
      <c r="B96" t="s">
        <v>217</v>
      </c>
      <c r="C96" t="s">
        <v>19</v>
      </c>
      <c r="D96" t="s">
        <v>29</v>
      </c>
      <c r="E96" s="1">
        <f ca="1">AVERAGEIF(D2:D101,D96,E2:E101)</f>
        <v>68.173913043478265</v>
      </c>
      <c r="F96">
        <v>85</v>
      </c>
      <c r="G96" s="5">
        <v>45335</v>
      </c>
      <c r="H96" t="s">
        <v>26</v>
      </c>
      <c r="I96" t="s">
        <v>46</v>
      </c>
      <c r="J96" t="s">
        <v>34</v>
      </c>
    </row>
    <row r="97" spans="1:10" x14ac:dyDescent="0.3">
      <c r="A97" t="s">
        <v>218</v>
      </c>
      <c r="B97" t="s">
        <v>219</v>
      </c>
      <c r="C97" t="s">
        <v>25</v>
      </c>
      <c r="D97" t="s">
        <v>52</v>
      </c>
      <c r="E97">
        <v>99</v>
      </c>
      <c r="F97">
        <v>76</v>
      </c>
      <c r="G97" s="5">
        <v>45437</v>
      </c>
      <c r="H97" t="s">
        <v>37</v>
      </c>
      <c r="I97" t="s">
        <v>15</v>
      </c>
      <c r="J97" t="s">
        <v>16</v>
      </c>
    </row>
    <row r="98" spans="1:10" x14ac:dyDescent="0.3">
      <c r="A98" t="s">
        <v>220</v>
      </c>
      <c r="B98" t="s">
        <v>221</v>
      </c>
      <c r="C98" t="s">
        <v>42</v>
      </c>
      <c r="D98" t="s">
        <v>29</v>
      </c>
      <c r="E98">
        <v>88</v>
      </c>
      <c r="F98">
        <v>89</v>
      </c>
      <c r="G98" s="5">
        <v>45555</v>
      </c>
      <c r="H98" t="s">
        <v>26</v>
      </c>
      <c r="I98" t="s">
        <v>38</v>
      </c>
      <c r="J98" t="s">
        <v>39</v>
      </c>
    </row>
    <row r="99" spans="1:10" x14ac:dyDescent="0.3">
      <c r="A99" t="s">
        <v>222</v>
      </c>
      <c r="B99" t="s">
        <v>223</v>
      </c>
      <c r="C99" t="s">
        <v>49</v>
      </c>
      <c r="D99" t="s">
        <v>13</v>
      </c>
      <c r="E99">
        <v>99</v>
      </c>
      <c r="F99">
        <v>97</v>
      </c>
      <c r="G99" s="5">
        <v>45463</v>
      </c>
      <c r="H99" t="s">
        <v>21</v>
      </c>
      <c r="I99" t="s">
        <v>22</v>
      </c>
      <c r="J99" t="s">
        <v>39</v>
      </c>
    </row>
    <row r="100" spans="1:10" x14ac:dyDescent="0.3">
      <c r="A100" t="s">
        <v>224</v>
      </c>
      <c r="B100" t="s">
        <v>225</v>
      </c>
      <c r="C100" t="s">
        <v>42</v>
      </c>
      <c r="D100" t="s">
        <v>52</v>
      </c>
      <c r="E100">
        <v>44</v>
      </c>
      <c r="F100">
        <v>59</v>
      </c>
      <c r="G100" s="5">
        <v>45339</v>
      </c>
      <c r="H100" t="s">
        <v>21</v>
      </c>
      <c r="I100" t="s">
        <v>15</v>
      </c>
      <c r="J100" t="s">
        <v>34</v>
      </c>
    </row>
    <row r="101" spans="1:10" x14ac:dyDescent="0.3">
      <c r="A101" t="s">
        <v>226</v>
      </c>
      <c r="B101" t="s">
        <v>227</v>
      </c>
      <c r="C101" t="s">
        <v>42</v>
      </c>
      <c r="D101" t="s">
        <v>52</v>
      </c>
      <c r="E101">
        <v>40</v>
      </c>
      <c r="F101">
        <v>65</v>
      </c>
      <c r="G101" s="5">
        <v>45412</v>
      </c>
      <c r="H101" t="s">
        <v>21</v>
      </c>
      <c r="I101" t="s">
        <v>22</v>
      </c>
      <c r="J10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D7CC-F1CA-4771-B9FE-5881FA52770D}">
  <dimension ref="A1:K103"/>
  <sheetViews>
    <sheetView zoomScale="72" workbookViewId="0">
      <selection activeCell="J2" sqref="J2"/>
    </sheetView>
  </sheetViews>
  <sheetFormatPr defaultRowHeight="14.4" x14ac:dyDescent="0.3"/>
  <cols>
    <col min="1" max="1" width="12.33203125" bestFit="1" customWidth="1"/>
    <col min="2" max="2" width="17.44140625" bestFit="1" customWidth="1"/>
    <col min="4" max="4" width="12.33203125" bestFit="1" customWidth="1"/>
    <col min="5" max="5" width="15.88671875" bestFit="1" customWidth="1"/>
    <col min="7" max="7" width="12.33203125" bestFit="1" customWidth="1"/>
    <col min="8" max="8" width="20.77734375" bestFit="1" customWidth="1"/>
    <col min="10" max="10" width="12.88671875" bestFit="1" customWidth="1"/>
    <col min="11" max="11" width="20.77734375" bestFit="1" customWidth="1"/>
  </cols>
  <sheetData>
    <row r="1" spans="1:11" x14ac:dyDescent="0.3">
      <c r="A1" s="3" t="s">
        <v>237</v>
      </c>
      <c r="B1" t="s">
        <v>235</v>
      </c>
    </row>
    <row r="2" spans="1:11" x14ac:dyDescent="0.3">
      <c r="A2" s="4" t="s">
        <v>10</v>
      </c>
      <c r="B2">
        <v>1</v>
      </c>
      <c r="D2" s="3" t="s">
        <v>237</v>
      </c>
      <c r="E2" t="s">
        <v>236</v>
      </c>
      <c r="G2" s="3" t="s">
        <v>237</v>
      </c>
      <c r="H2" t="s">
        <v>238</v>
      </c>
      <c r="J2" s="3" t="s">
        <v>239</v>
      </c>
      <c r="K2" t="s">
        <v>235</v>
      </c>
    </row>
    <row r="3" spans="1:11" x14ac:dyDescent="0.3">
      <c r="A3" s="4" t="s">
        <v>17</v>
      </c>
      <c r="B3">
        <v>1</v>
      </c>
      <c r="D3" s="4" t="s">
        <v>10</v>
      </c>
      <c r="E3">
        <v>45</v>
      </c>
      <c r="G3" s="4" t="s">
        <v>10</v>
      </c>
      <c r="H3">
        <v>79</v>
      </c>
      <c r="J3" s="4" t="s">
        <v>39</v>
      </c>
      <c r="K3">
        <v>38</v>
      </c>
    </row>
    <row r="4" spans="1:11" x14ac:dyDescent="0.3">
      <c r="A4" s="4" t="s">
        <v>23</v>
      </c>
      <c r="B4">
        <v>1</v>
      </c>
      <c r="D4" s="4" t="s">
        <v>17</v>
      </c>
      <c r="E4">
        <v>99</v>
      </c>
      <c r="G4" s="4" t="s">
        <v>17</v>
      </c>
      <c r="H4">
        <v>89</v>
      </c>
      <c r="J4" s="4" t="s">
        <v>34</v>
      </c>
      <c r="K4">
        <v>29</v>
      </c>
    </row>
    <row r="5" spans="1:11" x14ac:dyDescent="0.3">
      <c r="A5" s="4" t="s">
        <v>27</v>
      </c>
      <c r="B5">
        <v>1</v>
      </c>
      <c r="D5" s="4" t="s">
        <v>23</v>
      </c>
      <c r="E5">
        <v>88</v>
      </c>
      <c r="G5" s="4" t="s">
        <v>23</v>
      </c>
      <c r="H5">
        <v>86</v>
      </c>
      <c r="J5" s="4" t="s">
        <v>16</v>
      </c>
      <c r="K5">
        <v>33</v>
      </c>
    </row>
    <row r="6" spans="1:11" x14ac:dyDescent="0.3">
      <c r="A6" s="4" t="s">
        <v>31</v>
      </c>
      <c r="B6">
        <v>1</v>
      </c>
      <c r="D6" s="4" t="s">
        <v>27</v>
      </c>
      <c r="E6">
        <v>94</v>
      </c>
      <c r="G6" s="4" t="s">
        <v>27</v>
      </c>
      <c r="H6" s="1">
        <v>78.545454545454547</v>
      </c>
      <c r="J6" s="4" t="s">
        <v>234</v>
      </c>
      <c r="K6">
        <v>100</v>
      </c>
    </row>
    <row r="7" spans="1:11" x14ac:dyDescent="0.3">
      <c r="A7" s="4" t="s">
        <v>35</v>
      </c>
      <c r="B7">
        <v>1</v>
      </c>
      <c r="D7" s="4" t="s">
        <v>31</v>
      </c>
      <c r="E7">
        <v>55</v>
      </c>
      <c r="G7" s="4" t="s">
        <v>31</v>
      </c>
      <c r="H7">
        <v>54</v>
      </c>
    </row>
    <row r="8" spans="1:11" x14ac:dyDescent="0.3">
      <c r="A8" s="4" t="s">
        <v>40</v>
      </c>
      <c r="B8">
        <v>1</v>
      </c>
      <c r="D8" s="4" t="s">
        <v>35</v>
      </c>
      <c r="E8">
        <v>50</v>
      </c>
      <c r="G8" s="4" t="s">
        <v>35</v>
      </c>
      <c r="H8" s="1">
        <v>79.466666666666669</v>
      </c>
    </row>
    <row r="9" spans="1:11" x14ac:dyDescent="0.3">
      <c r="A9" s="4" t="s">
        <v>44</v>
      </c>
      <c r="B9">
        <v>1</v>
      </c>
      <c r="D9" s="4" t="s">
        <v>40</v>
      </c>
      <c r="E9">
        <v>66</v>
      </c>
      <c r="G9" s="4" t="s">
        <v>40</v>
      </c>
      <c r="H9">
        <v>63</v>
      </c>
      <c r="J9" s="3" t="s">
        <v>240</v>
      </c>
      <c r="K9" t="s">
        <v>235</v>
      </c>
    </row>
    <row r="10" spans="1:11" x14ac:dyDescent="0.3">
      <c r="A10" s="4" t="s">
        <v>47</v>
      </c>
      <c r="B10">
        <v>1</v>
      </c>
      <c r="D10" s="4" t="s">
        <v>44</v>
      </c>
      <c r="E10">
        <v>71</v>
      </c>
      <c r="G10" s="4" t="s">
        <v>44</v>
      </c>
      <c r="H10">
        <v>82</v>
      </c>
      <c r="J10" s="4" t="s">
        <v>37</v>
      </c>
      <c r="K10">
        <v>24</v>
      </c>
    </row>
    <row r="11" spans="1:11" x14ac:dyDescent="0.3">
      <c r="A11" s="4" t="s">
        <v>50</v>
      </c>
      <c r="B11">
        <v>1</v>
      </c>
      <c r="D11" s="4" t="s">
        <v>47</v>
      </c>
      <c r="E11">
        <v>70</v>
      </c>
      <c r="G11" s="4" t="s">
        <v>47</v>
      </c>
      <c r="H11">
        <v>66</v>
      </c>
      <c r="J11" s="4" t="s">
        <v>14</v>
      </c>
      <c r="K11">
        <v>23</v>
      </c>
    </row>
    <row r="12" spans="1:11" x14ac:dyDescent="0.3">
      <c r="A12" s="4" t="s">
        <v>53</v>
      </c>
      <c r="B12">
        <v>1</v>
      </c>
      <c r="D12" s="4" t="s">
        <v>50</v>
      </c>
      <c r="E12">
        <v>53</v>
      </c>
      <c r="G12" s="4" t="s">
        <v>50</v>
      </c>
      <c r="H12">
        <v>58</v>
      </c>
      <c r="J12" s="4" t="s">
        <v>21</v>
      </c>
      <c r="K12">
        <v>21</v>
      </c>
    </row>
    <row r="13" spans="1:11" x14ac:dyDescent="0.3">
      <c r="A13" s="4" t="s">
        <v>54</v>
      </c>
      <c r="B13">
        <v>1</v>
      </c>
      <c r="D13" s="4" t="s">
        <v>53</v>
      </c>
      <c r="E13">
        <v>95</v>
      </c>
      <c r="G13" s="4" t="s">
        <v>53</v>
      </c>
      <c r="H13">
        <v>72</v>
      </c>
      <c r="J13" s="4" t="s">
        <v>26</v>
      </c>
      <c r="K13">
        <v>19</v>
      </c>
    </row>
    <row r="14" spans="1:11" x14ac:dyDescent="0.3">
      <c r="A14" s="4" t="s">
        <v>55</v>
      </c>
      <c r="B14">
        <v>1</v>
      </c>
      <c r="D14" s="4" t="s">
        <v>54</v>
      </c>
      <c r="E14">
        <v>65</v>
      </c>
      <c r="G14" s="4" t="s">
        <v>54</v>
      </c>
      <c r="H14">
        <v>54</v>
      </c>
      <c r="J14" s="4" t="s">
        <v>43</v>
      </c>
      <c r="K14">
        <v>13</v>
      </c>
    </row>
    <row r="15" spans="1:11" x14ac:dyDescent="0.3">
      <c r="A15" s="4" t="s">
        <v>57</v>
      </c>
      <c r="B15">
        <v>1</v>
      </c>
      <c r="D15" s="4" t="s">
        <v>55</v>
      </c>
      <c r="E15">
        <v>97</v>
      </c>
      <c r="G15" s="4" t="s">
        <v>55</v>
      </c>
      <c r="H15">
        <v>65</v>
      </c>
      <c r="J15" s="4" t="s">
        <v>234</v>
      </c>
      <c r="K15">
        <v>100</v>
      </c>
    </row>
    <row r="16" spans="1:11" x14ac:dyDescent="0.3">
      <c r="A16" s="4" t="s">
        <v>59</v>
      </c>
      <c r="B16">
        <v>1</v>
      </c>
      <c r="D16" s="4" t="s">
        <v>57</v>
      </c>
      <c r="E16">
        <v>43</v>
      </c>
      <c r="G16" s="4" t="s">
        <v>57</v>
      </c>
      <c r="H16">
        <v>73</v>
      </c>
    </row>
    <row r="17" spans="1:11" x14ac:dyDescent="0.3">
      <c r="A17" s="4" t="s">
        <v>61</v>
      </c>
      <c r="B17">
        <v>1</v>
      </c>
      <c r="D17" s="4" t="s">
        <v>59</v>
      </c>
      <c r="E17">
        <v>50</v>
      </c>
      <c r="G17" s="4" t="s">
        <v>59</v>
      </c>
      <c r="H17">
        <v>68</v>
      </c>
      <c r="J17" s="3" t="s">
        <v>241</v>
      </c>
      <c r="K17" t="s">
        <v>236</v>
      </c>
    </row>
    <row r="18" spans="1:11" x14ac:dyDescent="0.3">
      <c r="A18" s="4" t="s">
        <v>63</v>
      </c>
      <c r="B18">
        <v>1</v>
      </c>
      <c r="D18" s="4" t="s">
        <v>61</v>
      </c>
      <c r="E18">
        <v>64</v>
      </c>
      <c r="G18" s="4" t="s">
        <v>61</v>
      </c>
      <c r="H18">
        <v>60</v>
      </c>
      <c r="J18" s="4" t="s">
        <v>19</v>
      </c>
      <c r="K18" s="1">
        <v>71.798627002288328</v>
      </c>
    </row>
    <row r="19" spans="1:11" x14ac:dyDescent="0.3">
      <c r="A19" s="4" t="s">
        <v>65</v>
      </c>
      <c r="B19">
        <v>1</v>
      </c>
      <c r="D19" s="4" t="s">
        <v>63</v>
      </c>
      <c r="E19">
        <v>40</v>
      </c>
      <c r="G19" s="4" t="s">
        <v>63</v>
      </c>
      <c r="H19">
        <v>78</v>
      </c>
      <c r="J19" s="4" t="s">
        <v>25</v>
      </c>
      <c r="K19" s="1">
        <v>70.149159663865547</v>
      </c>
    </row>
    <row r="20" spans="1:11" x14ac:dyDescent="0.3">
      <c r="A20" s="4" t="s">
        <v>67</v>
      </c>
      <c r="B20">
        <v>1</v>
      </c>
      <c r="D20" s="4" t="s">
        <v>65</v>
      </c>
      <c r="E20">
        <v>64</v>
      </c>
      <c r="G20" s="4" t="s">
        <v>65</v>
      </c>
      <c r="H20">
        <v>84</v>
      </c>
      <c r="J20" s="4" t="s">
        <v>12</v>
      </c>
      <c r="K20" s="1">
        <v>68.927977839335171</v>
      </c>
    </row>
    <row r="21" spans="1:11" x14ac:dyDescent="0.3">
      <c r="A21" s="4" t="s">
        <v>69</v>
      </c>
      <c r="B21">
        <v>1</v>
      </c>
      <c r="D21" s="4" t="s">
        <v>67</v>
      </c>
      <c r="E21">
        <v>56</v>
      </c>
      <c r="G21" s="4" t="s">
        <v>67</v>
      </c>
      <c r="H21">
        <v>95</v>
      </c>
      <c r="J21" s="4" t="s">
        <v>49</v>
      </c>
      <c r="K21" s="1">
        <v>68.687969924812037</v>
      </c>
    </row>
    <row r="22" spans="1:11" x14ac:dyDescent="0.3">
      <c r="A22" s="4" t="s">
        <v>71</v>
      </c>
      <c r="B22">
        <v>1</v>
      </c>
      <c r="D22" s="4" t="s">
        <v>69</v>
      </c>
      <c r="E22">
        <v>99</v>
      </c>
      <c r="G22" s="4" t="s">
        <v>69</v>
      </c>
      <c r="H22">
        <v>69</v>
      </c>
      <c r="J22" s="4" t="s">
        <v>42</v>
      </c>
      <c r="K22" s="1">
        <v>66.258823529411757</v>
      </c>
    </row>
    <row r="23" spans="1:11" x14ac:dyDescent="0.3">
      <c r="A23" s="4" t="s">
        <v>73</v>
      </c>
      <c r="B23">
        <v>1</v>
      </c>
      <c r="D23" s="4" t="s">
        <v>71</v>
      </c>
      <c r="E23">
        <v>90</v>
      </c>
      <c r="G23" s="4" t="s">
        <v>71</v>
      </c>
      <c r="H23">
        <v>89</v>
      </c>
    </row>
    <row r="24" spans="1:11" x14ac:dyDescent="0.3">
      <c r="A24" s="4" t="s">
        <v>75</v>
      </c>
      <c r="B24">
        <v>1</v>
      </c>
      <c r="D24" s="4" t="s">
        <v>73</v>
      </c>
      <c r="E24">
        <v>90</v>
      </c>
      <c r="G24" s="4" t="s">
        <v>73</v>
      </c>
      <c r="H24">
        <v>91</v>
      </c>
    </row>
    <row r="25" spans="1:11" x14ac:dyDescent="0.3">
      <c r="A25" s="4" t="s">
        <v>77</v>
      </c>
      <c r="B25">
        <v>1</v>
      </c>
      <c r="D25" s="4" t="s">
        <v>75</v>
      </c>
      <c r="E25">
        <v>69</v>
      </c>
      <c r="G25" s="4" t="s">
        <v>75</v>
      </c>
      <c r="H25">
        <v>83</v>
      </c>
    </row>
    <row r="26" spans="1:11" x14ac:dyDescent="0.3">
      <c r="A26" s="4" t="s">
        <v>79</v>
      </c>
      <c r="B26">
        <v>1</v>
      </c>
      <c r="D26" s="4" t="s">
        <v>77</v>
      </c>
      <c r="E26">
        <v>58</v>
      </c>
      <c r="G26" s="4" t="s">
        <v>77</v>
      </c>
      <c r="H26">
        <v>50</v>
      </c>
      <c r="J26" s="3" t="s">
        <v>252</v>
      </c>
      <c r="K26" t="s">
        <v>238</v>
      </c>
    </row>
    <row r="27" spans="1:11" x14ac:dyDescent="0.3">
      <c r="A27" s="4" t="s">
        <v>81</v>
      </c>
      <c r="B27">
        <v>1</v>
      </c>
      <c r="D27" s="4" t="s">
        <v>79</v>
      </c>
      <c r="E27">
        <v>67</v>
      </c>
      <c r="G27" s="4" t="s">
        <v>79</v>
      </c>
      <c r="H27">
        <v>92</v>
      </c>
      <c r="J27" s="4" t="s">
        <v>242</v>
      </c>
      <c r="K27">
        <v>76.193181818181813</v>
      </c>
    </row>
    <row r="28" spans="1:11" x14ac:dyDescent="0.3">
      <c r="A28" s="4" t="s">
        <v>83</v>
      </c>
      <c r="B28">
        <v>1</v>
      </c>
      <c r="D28" s="4" t="s">
        <v>81</v>
      </c>
      <c r="E28">
        <v>84</v>
      </c>
      <c r="G28" s="4" t="s">
        <v>81</v>
      </c>
      <c r="H28">
        <v>85</v>
      </c>
      <c r="J28" s="4" t="s">
        <v>243</v>
      </c>
      <c r="K28">
        <v>79.625</v>
      </c>
    </row>
    <row r="29" spans="1:11" x14ac:dyDescent="0.3">
      <c r="A29" s="4" t="s">
        <v>85</v>
      </c>
      <c r="B29">
        <v>1</v>
      </c>
      <c r="D29" s="4" t="s">
        <v>83</v>
      </c>
      <c r="E29">
        <v>86</v>
      </c>
      <c r="G29" s="4" t="s">
        <v>83</v>
      </c>
      <c r="H29">
        <v>69</v>
      </c>
      <c r="J29" s="4" t="s">
        <v>244</v>
      </c>
      <c r="K29">
        <v>84.142857142857139</v>
      </c>
    </row>
    <row r="30" spans="1:11" x14ac:dyDescent="0.3">
      <c r="A30" s="4" t="s">
        <v>87</v>
      </c>
      <c r="B30">
        <v>1</v>
      </c>
      <c r="D30" s="4" t="s">
        <v>85</v>
      </c>
      <c r="E30">
        <v>90</v>
      </c>
      <c r="G30" s="4" t="s">
        <v>85</v>
      </c>
      <c r="H30">
        <v>92</v>
      </c>
      <c r="J30" s="4" t="s">
        <v>245</v>
      </c>
      <c r="K30">
        <v>69.060728744939269</v>
      </c>
    </row>
    <row r="31" spans="1:11" x14ac:dyDescent="0.3">
      <c r="A31" s="4" t="s">
        <v>89</v>
      </c>
      <c r="B31">
        <v>1</v>
      </c>
      <c r="D31" s="4" t="s">
        <v>87</v>
      </c>
      <c r="E31">
        <v>75</v>
      </c>
      <c r="G31" s="4" t="s">
        <v>87</v>
      </c>
      <c r="H31">
        <v>56</v>
      </c>
      <c r="J31" s="4" t="s">
        <v>246</v>
      </c>
      <c r="K31">
        <v>72.900000000000006</v>
      </c>
    </row>
    <row r="32" spans="1:11" x14ac:dyDescent="0.3">
      <c r="A32" s="4" t="s">
        <v>91</v>
      </c>
      <c r="B32">
        <v>1</v>
      </c>
      <c r="D32" s="4" t="s">
        <v>89</v>
      </c>
      <c r="E32">
        <v>82</v>
      </c>
      <c r="G32" s="4" t="s">
        <v>89</v>
      </c>
      <c r="H32">
        <v>58</v>
      </c>
      <c r="J32" s="4" t="s">
        <v>247</v>
      </c>
      <c r="K32">
        <v>76.968627450980392</v>
      </c>
    </row>
    <row r="33" spans="1:11" x14ac:dyDescent="0.3">
      <c r="A33" s="4" t="s">
        <v>93</v>
      </c>
      <c r="B33">
        <v>1</v>
      </c>
      <c r="D33" s="4" t="s">
        <v>91</v>
      </c>
      <c r="E33">
        <v>85</v>
      </c>
      <c r="G33" s="4" t="s">
        <v>91</v>
      </c>
      <c r="H33">
        <v>66</v>
      </c>
      <c r="J33" s="4" t="s">
        <v>248</v>
      </c>
      <c r="K33">
        <v>67</v>
      </c>
    </row>
    <row r="34" spans="1:11" x14ac:dyDescent="0.3">
      <c r="A34" s="4" t="s">
        <v>95</v>
      </c>
      <c r="B34">
        <v>1</v>
      </c>
      <c r="D34" s="4" t="s">
        <v>93</v>
      </c>
      <c r="E34">
        <v>71</v>
      </c>
      <c r="G34" s="4" t="s">
        <v>93</v>
      </c>
      <c r="H34">
        <v>57</v>
      </c>
      <c r="J34" s="4" t="s">
        <v>249</v>
      </c>
      <c r="K34">
        <v>77.628787878787875</v>
      </c>
    </row>
    <row r="35" spans="1:11" x14ac:dyDescent="0.3">
      <c r="A35" s="4" t="s">
        <v>97</v>
      </c>
      <c r="B35">
        <v>1</v>
      </c>
      <c r="D35" s="4" t="s">
        <v>95</v>
      </c>
      <c r="E35" s="1">
        <v>64.631578947368425</v>
      </c>
      <c r="G35" s="4" t="s">
        <v>95</v>
      </c>
      <c r="H35">
        <v>56</v>
      </c>
      <c r="J35" s="4" t="s">
        <v>250</v>
      </c>
      <c r="K35">
        <v>65.075000000000003</v>
      </c>
    </row>
    <row r="36" spans="1:11" x14ac:dyDescent="0.3">
      <c r="A36" s="4" t="s">
        <v>99</v>
      </c>
      <c r="B36">
        <v>1</v>
      </c>
      <c r="D36" s="4" t="s">
        <v>97</v>
      </c>
      <c r="E36">
        <v>52</v>
      </c>
      <c r="G36" s="4" t="s">
        <v>97</v>
      </c>
      <c r="H36">
        <v>97</v>
      </c>
      <c r="J36" s="4" t="s">
        <v>251</v>
      </c>
      <c r="K36">
        <v>63.875</v>
      </c>
    </row>
    <row r="37" spans="1:11" x14ac:dyDescent="0.3">
      <c r="A37" s="4" t="s">
        <v>101</v>
      </c>
      <c r="B37">
        <v>1</v>
      </c>
      <c r="D37" s="4" t="s">
        <v>99</v>
      </c>
      <c r="E37" s="1">
        <v>72.17647058823529</v>
      </c>
      <c r="G37" s="4" t="s">
        <v>99</v>
      </c>
      <c r="H37">
        <v>85</v>
      </c>
      <c r="J37" s="4" t="s">
        <v>234</v>
      </c>
      <c r="K37">
        <v>73.407970494417853</v>
      </c>
    </row>
    <row r="38" spans="1:11" x14ac:dyDescent="0.3">
      <c r="A38" s="4" t="s">
        <v>103</v>
      </c>
      <c r="B38">
        <v>1</v>
      </c>
      <c r="D38" s="4" t="s">
        <v>101</v>
      </c>
      <c r="E38">
        <v>53</v>
      </c>
      <c r="G38" s="4" t="s">
        <v>101</v>
      </c>
      <c r="H38">
        <v>59</v>
      </c>
    </row>
    <row r="39" spans="1:11" x14ac:dyDescent="0.3">
      <c r="A39" s="4" t="s">
        <v>105</v>
      </c>
      <c r="B39">
        <v>1</v>
      </c>
      <c r="D39" s="4" t="s">
        <v>103</v>
      </c>
      <c r="E39">
        <v>43</v>
      </c>
      <c r="G39" s="4" t="s">
        <v>103</v>
      </c>
      <c r="H39">
        <v>67</v>
      </c>
    </row>
    <row r="40" spans="1:11" x14ac:dyDescent="0.3">
      <c r="A40" s="4" t="s">
        <v>107</v>
      </c>
      <c r="B40">
        <v>1</v>
      </c>
      <c r="D40" s="4" t="s">
        <v>105</v>
      </c>
      <c r="E40">
        <v>77</v>
      </c>
      <c r="G40" s="4" t="s">
        <v>105</v>
      </c>
      <c r="H40">
        <v>68</v>
      </c>
    </row>
    <row r="41" spans="1:11" x14ac:dyDescent="0.3">
      <c r="A41" s="4" t="s">
        <v>109</v>
      </c>
      <c r="B41">
        <v>1</v>
      </c>
      <c r="D41" s="4" t="s">
        <v>107</v>
      </c>
      <c r="E41">
        <v>87</v>
      </c>
      <c r="G41" s="4" t="s">
        <v>107</v>
      </c>
      <c r="H41">
        <v>88</v>
      </c>
    </row>
    <row r="42" spans="1:11" x14ac:dyDescent="0.3">
      <c r="A42" s="4" t="s">
        <v>111</v>
      </c>
      <c r="B42">
        <v>1</v>
      </c>
      <c r="D42" s="4" t="s">
        <v>109</v>
      </c>
      <c r="E42">
        <v>74</v>
      </c>
      <c r="G42" s="4" t="s">
        <v>109</v>
      </c>
      <c r="H42">
        <v>63</v>
      </c>
    </row>
    <row r="43" spans="1:11" x14ac:dyDescent="0.3">
      <c r="A43" s="4" t="s">
        <v>113</v>
      </c>
      <c r="B43">
        <v>1</v>
      </c>
      <c r="D43" s="4" t="s">
        <v>111</v>
      </c>
      <c r="E43">
        <v>43</v>
      </c>
      <c r="G43" s="4" t="s">
        <v>111</v>
      </c>
      <c r="H43">
        <v>95</v>
      </c>
    </row>
    <row r="44" spans="1:11" x14ac:dyDescent="0.3">
      <c r="A44" s="4" t="s">
        <v>115</v>
      </c>
      <c r="B44">
        <v>1</v>
      </c>
      <c r="D44" s="4" t="s">
        <v>113</v>
      </c>
      <c r="E44">
        <v>87</v>
      </c>
      <c r="G44" s="4" t="s">
        <v>113</v>
      </c>
      <c r="H44" s="1">
        <v>78.545454545454547</v>
      </c>
    </row>
    <row r="45" spans="1:11" x14ac:dyDescent="0.3">
      <c r="A45" s="4" t="s">
        <v>117</v>
      </c>
      <c r="B45">
        <v>1</v>
      </c>
      <c r="D45" s="4" t="s">
        <v>115</v>
      </c>
      <c r="E45">
        <v>60</v>
      </c>
      <c r="G45" s="4" t="s">
        <v>115</v>
      </c>
      <c r="H45">
        <v>63</v>
      </c>
    </row>
    <row r="46" spans="1:11" x14ac:dyDescent="0.3">
      <c r="A46" s="4" t="s">
        <v>119</v>
      </c>
      <c r="B46">
        <v>1</v>
      </c>
      <c r="D46" s="4" t="s">
        <v>117</v>
      </c>
      <c r="E46">
        <v>43</v>
      </c>
      <c r="G46" s="4" t="s">
        <v>117</v>
      </c>
      <c r="H46">
        <v>93</v>
      </c>
    </row>
    <row r="47" spans="1:11" x14ac:dyDescent="0.3">
      <c r="A47" s="4" t="s">
        <v>121</v>
      </c>
      <c r="B47">
        <v>1</v>
      </c>
      <c r="D47" s="4" t="s">
        <v>119</v>
      </c>
      <c r="E47">
        <v>43</v>
      </c>
      <c r="G47" s="4" t="s">
        <v>119</v>
      </c>
      <c r="H47">
        <v>90</v>
      </c>
    </row>
    <row r="48" spans="1:11" x14ac:dyDescent="0.3">
      <c r="A48" s="4" t="s">
        <v>123</v>
      </c>
      <c r="B48">
        <v>1</v>
      </c>
      <c r="D48" s="4" t="s">
        <v>121</v>
      </c>
      <c r="E48">
        <v>77</v>
      </c>
      <c r="G48" s="4" t="s">
        <v>121</v>
      </c>
      <c r="H48">
        <v>66</v>
      </c>
    </row>
    <row r="49" spans="1:8" x14ac:dyDescent="0.3">
      <c r="A49" s="4" t="s">
        <v>125</v>
      </c>
      <c r="B49">
        <v>1</v>
      </c>
      <c r="D49" s="4" t="s">
        <v>123</v>
      </c>
      <c r="E49">
        <v>70</v>
      </c>
      <c r="G49" s="4" t="s">
        <v>123</v>
      </c>
      <c r="H49">
        <v>82</v>
      </c>
    </row>
    <row r="50" spans="1:8" x14ac:dyDescent="0.3">
      <c r="A50" s="4" t="s">
        <v>127</v>
      </c>
      <c r="B50">
        <v>1</v>
      </c>
      <c r="D50" s="4" t="s">
        <v>125</v>
      </c>
      <c r="E50">
        <v>72</v>
      </c>
      <c r="G50" s="4" t="s">
        <v>125</v>
      </c>
      <c r="H50">
        <v>81</v>
      </c>
    </row>
    <row r="51" spans="1:8" x14ac:dyDescent="0.3">
      <c r="A51" s="4" t="s">
        <v>129</v>
      </c>
      <c r="B51">
        <v>1</v>
      </c>
      <c r="D51" s="4" t="s">
        <v>127</v>
      </c>
      <c r="E51">
        <v>98</v>
      </c>
      <c r="G51" s="4" t="s">
        <v>127</v>
      </c>
      <c r="H51">
        <v>66</v>
      </c>
    </row>
    <row r="52" spans="1:8" x14ac:dyDescent="0.3">
      <c r="A52" s="4" t="s">
        <v>131</v>
      </c>
      <c r="B52">
        <v>1</v>
      </c>
      <c r="D52" s="4" t="s">
        <v>129</v>
      </c>
      <c r="E52">
        <v>94</v>
      </c>
      <c r="G52" s="4" t="s">
        <v>129</v>
      </c>
      <c r="H52">
        <v>53</v>
      </c>
    </row>
    <row r="53" spans="1:8" x14ac:dyDescent="0.3">
      <c r="A53" s="4" t="s">
        <v>133</v>
      </c>
      <c r="B53">
        <v>1</v>
      </c>
      <c r="D53" s="4" t="s">
        <v>131</v>
      </c>
      <c r="E53">
        <v>73</v>
      </c>
      <c r="G53" s="4" t="s">
        <v>131</v>
      </c>
      <c r="H53">
        <v>55</v>
      </c>
    </row>
    <row r="54" spans="1:8" x14ac:dyDescent="0.3">
      <c r="A54" s="4" t="s">
        <v>135</v>
      </c>
      <c r="B54">
        <v>1</v>
      </c>
      <c r="D54" s="4" t="s">
        <v>133</v>
      </c>
      <c r="E54">
        <v>50</v>
      </c>
      <c r="G54" s="4" t="s">
        <v>133</v>
      </c>
      <c r="H54">
        <v>90</v>
      </c>
    </row>
    <row r="55" spans="1:8" x14ac:dyDescent="0.3">
      <c r="A55" s="4" t="s">
        <v>137</v>
      </c>
      <c r="B55">
        <v>1</v>
      </c>
      <c r="D55" s="4" t="s">
        <v>135</v>
      </c>
      <c r="E55">
        <v>43</v>
      </c>
      <c r="G55" s="4" t="s">
        <v>135</v>
      </c>
      <c r="H55">
        <v>77</v>
      </c>
    </row>
    <row r="56" spans="1:8" x14ac:dyDescent="0.3">
      <c r="A56" s="4" t="s">
        <v>139</v>
      </c>
      <c r="B56">
        <v>1</v>
      </c>
      <c r="D56" s="4" t="s">
        <v>137</v>
      </c>
      <c r="E56">
        <v>72</v>
      </c>
      <c r="G56" s="4" t="s">
        <v>137</v>
      </c>
      <c r="H56">
        <v>67</v>
      </c>
    </row>
    <row r="57" spans="1:8" x14ac:dyDescent="0.3">
      <c r="A57" s="4" t="s">
        <v>141</v>
      </c>
      <c r="B57">
        <v>1</v>
      </c>
      <c r="D57" s="4" t="s">
        <v>139</v>
      </c>
      <c r="E57">
        <v>45</v>
      </c>
      <c r="G57" s="4" t="s">
        <v>139</v>
      </c>
      <c r="H57">
        <v>52</v>
      </c>
    </row>
    <row r="58" spans="1:8" x14ac:dyDescent="0.3">
      <c r="A58" s="4" t="s">
        <v>142</v>
      </c>
      <c r="B58">
        <v>1</v>
      </c>
      <c r="D58" s="4" t="s">
        <v>141</v>
      </c>
      <c r="E58">
        <v>94</v>
      </c>
      <c r="G58" s="4" t="s">
        <v>141</v>
      </c>
      <c r="H58">
        <v>50</v>
      </c>
    </row>
    <row r="59" spans="1:8" x14ac:dyDescent="0.3">
      <c r="A59" s="4" t="s">
        <v>144</v>
      </c>
      <c r="B59">
        <v>1</v>
      </c>
      <c r="D59" s="4" t="s">
        <v>142</v>
      </c>
      <c r="E59">
        <v>51</v>
      </c>
      <c r="G59" s="4" t="s">
        <v>142</v>
      </c>
      <c r="H59" s="1">
        <v>65.78947368421052</v>
      </c>
    </row>
    <row r="60" spans="1:8" x14ac:dyDescent="0.3">
      <c r="A60" s="4" t="s">
        <v>146</v>
      </c>
      <c r="B60">
        <v>1</v>
      </c>
      <c r="D60" s="4" t="s">
        <v>144</v>
      </c>
      <c r="E60">
        <v>44</v>
      </c>
      <c r="G60" s="4" t="s">
        <v>144</v>
      </c>
      <c r="H60">
        <v>99</v>
      </c>
    </row>
    <row r="61" spans="1:8" x14ac:dyDescent="0.3">
      <c r="A61" s="4" t="s">
        <v>148</v>
      </c>
      <c r="B61">
        <v>1</v>
      </c>
      <c r="D61" s="4" t="s">
        <v>146</v>
      </c>
      <c r="E61">
        <v>78</v>
      </c>
      <c r="G61" s="4" t="s">
        <v>146</v>
      </c>
      <c r="H61">
        <v>58</v>
      </c>
    </row>
    <row r="62" spans="1:8" x14ac:dyDescent="0.3">
      <c r="A62" s="4" t="s">
        <v>150</v>
      </c>
      <c r="B62">
        <v>1</v>
      </c>
      <c r="D62" s="4" t="s">
        <v>148</v>
      </c>
      <c r="E62">
        <v>44</v>
      </c>
      <c r="G62" s="4" t="s">
        <v>148</v>
      </c>
      <c r="H62">
        <v>90</v>
      </c>
    </row>
    <row r="63" spans="1:8" x14ac:dyDescent="0.3">
      <c r="A63" s="4" t="s">
        <v>152</v>
      </c>
      <c r="B63">
        <v>1</v>
      </c>
      <c r="D63" s="4" t="s">
        <v>150</v>
      </c>
      <c r="E63">
        <v>83</v>
      </c>
      <c r="G63" s="4" t="s">
        <v>150</v>
      </c>
      <c r="H63">
        <v>66</v>
      </c>
    </row>
    <row r="64" spans="1:8" x14ac:dyDescent="0.3">
      <c r="A64" s="4" t="s">
        <v>154</v>
      </c>
      <c r="B64">
        <v>1</v>
      </c>
      <c r="D64" s="4" t="s">
        <v>152</v>
      </c>
      <c r="E64">
        <v>95</v>
      </c>
      <c r="G64" s="4" t="s">
        <v>152</v>
      </c>
      <c r="H64">
        <v>60</v>
      </c>
    </row>
    <row r="65" spans="1:8" x14ac:dyDescent="0.3">
      <c r="A65" s="4" t="s">
        <v>156</v>
      </c>
      <c r="B65">
        <v>1</v>
      </c>
      <c r="D65" s="4" t="s">
        <v>154</v>
      </c>
      <c r="E65">
        <v>55</v>
      </c>
      <c r="G65" s="4" t="s">
        <v>154</v>
      </c>
      <c r="H65">
        <v>97</v>
      </c>
    </row>
    <row r="66" spans="1:8" x14ac:dyDescent="0.3">
      <c r="A66" s="4" t="s">
        <v>158</v>
      </c>
      <c r="B66">
        <v>1</v>
      </c>
      <c r="D66" s="4" t="s">
        <v>156</v>
      </c>
      <c r="E66" s="1">
        <v>64.631578947368425</v>
      </c>
      <c r="G66" s="4" t="s">
        <v>156</v>
      </c>
      <c r="H66">
        <v>78</v>
      </c>
    </row>
    <row r="67" spans="1:8" x14ac:dyDescent="0.3">
      <c r="A67" s="4" t="s">
        <v>160</v>
      </c>
      <c r="B67">
        <v>1</v>
      </c>
      <c r="D67" s="4" t="s">
        <v>158</v>
      </c>
      <c r="E67">
        <v>47</v>
      </c>
      <c r="G67" s="4" t="s">
        <v>158</v>
      </c>
      <c r="H67">
        <v>69.45</v>
      </c>
    </row>
    <row r="68" spans="1:8" x14ac:dyDescent="0.3">
      <c r="A68" s="4" t="s">
        <v>162</v>
      </c>
      <c r="B68">
        <v>1</v>
      </c>
      <c r="D68" s="4" t="s">
        <v>160</v>
      </c>
      <c r="E68">
        <v>100</v>
      </c>
      <c r="G68" s="4" t="s">
        <v>160</v>
      </c>
      <c r="H68">
        <v>95</v>
      </c>
    </row>
    <row r="69" spans="1:8" x14ac:dyDescent="0.3">
      <c r="A69" s="4" t="s">
        <v>164</v>
      </c>
      <c r="B69">
        <v>1</v>
      </c>
      <c r="D69" s="4" t="s">
        <v>162</v>
      </c>
      <c r="E69">
        <v>96</v>
      </c>
      <c r="G69" s="4" t="s">
        <v>162</v>
      </c>
      <c r="H69">
        <v>77</v>
      </c>
    </row>
    <row r="70" spans="1:8" x14ac:dyDescent="0.3">
      <c r="A70" s="4" t="s">
        <v>166</v>
      </c>
      <c r="B70">
        <v>1</v>
      </c>
      <c r="D70" s="4" t="s">
        <v>164</v>
      </c>
      <c r="E70">
        <v>76</v>
      </c>
      <c r="G70" s="4" t="s">
        <v>164</v>
      </c>
      <c r="H70">
        <v>85</v>
      </c>
    </row>
    <row r="71" spans="1:8" x14ac:dyDescent="0.3">
      <c r="A71" s="4" t="s">
        <v>168</v>
      </c>
      <c r="B71">
        <v>1</v>
      </c>
      <c r="D71" s="4" t="s">
        <v>166</v>
      </c>
      <c r="E71">
        <v>55</v>
      </c>
      <c r="G71" s="4" t="s">
        <v>166</v>
      </c>
      <c r="H71">
        <v>50</v>
      </c>
    </row>
    <row r="72" spans="1:8" x14ac:dyDescent="0.3">
      <c r="A72" s="4" t="s">
        <v>169</v>
      </c>
      <c r="B72">
        <v>1</v>
      </c>
      <c r="D72" s="4" t="s">
        <v>168</v>
      </c>
      <c r="E72">
        <v>77</v>
      </c>
      <c r="G72" s="4" t="s">
        <v>168</v>
      </c>
      <c r="H72">
        <v>57</v>
      </c>
    </row>
    <row r="73" spans="1:8" x14ac:dyDescent="0.3">
      <c r="A73" s="4" t="s">
        <v>171</v>
      </c>
      <c r="B73">
        <v>1</v>
      </c>
      <c r="D73" s="4" t="s">
        <v>169</v>
      </c>
      <c r="E73">
        <v>78</v>
      </c>
      <c r="G73" s="4" t="s">
        <v>169</v>
      </c>
      <c r="H73">
        <v>54</v>
      </c>
    </row>
    <row r="74" spans="1:8" x14ac:dyDescent="0.3">
      <c r="A74" s="4" t="s">
        <v>173</v>
      </c>
      <c r="B74">
        <v>1</v>
      </c>
      <c r="D74" s="4" t="s">
        <v>171</v>
      </c>
      <c r="E74">
        <v>42</v>
      </c>
      <c r="G74" s="4" t="s">
        <v>171</v>
      </c>
      <c r="H74">
        <v>94</v>
      </c>
    </row>
    <row r="75" spans="1:8" x14ac:dyDescent="0.3">
      <c r="A75" s="4" t="s">
        <v>175</v>
      </c>
      <c r="B75">
        <v>1</v>
      </c>
      <c r="D75" s="4" t="s">
        <v>173</v>
      </c>
      <c r="E75">
        <v>79</v>
      </c>
      <c r="G75" s="4" t="s">
        <v>173</v>
      </c>
      <c r="H75">
        <v>59</v>
      </c>
    </row>
    <row r="76" spans="1:8" x14ac:dyDescent="0.3">
      <c r="A76" s="4" t="s">
        <v>177</v>
      </c>
      <c r="B76">
        <v>1</v>
      </c>
      <c r="D76" s="4" t="s">
        <v>175</v>
      </c>
      <c r="E76">
        <v>45</v>
      </c>
      <c r="G76" s="4" t="s">
        <v>175</v>
      </c>
      <c r="H76">
        <v>84</v>
      </c>
    </row>
    <row r="77" spans="1:8" x14ac:dyDescent="0.3">
      <c r="A77" s="4" t="s">
        <v>179</v>
      </c>
      <c r="B77">
        <v>1</v>
      </c>
      <c r="D77" s="4" t="s">
        <v>177</v>
      </c>
      <c r="E77">
        <v>66</v>
      </c>
      <c r="G77" s="4" t="s">
        <v>177</v>
      </c>
      <c r="H77">
        <v>52</v>
      </c>
    </row>
    <row r="78" spans="1:8" x14ac:dyDescent="0.3">
      <c r="A78" s="4" t="s">
        <v>181</v>
      </c>
      <c r="B78">
        <v>1</v>
      </c>
      <c r="D78" s="4" t="s">
        <v>179</v>
      </c>
      <c r="E78">
        <v>82</v>
      </c>
      <c r="G78" s="4" t="s">
        <v>179</v>
      </c>
      <c r="H78">
        <v>73</v>
      </c>
    </row>
    <row r="79" spans="1:8" x14ac:dyDescent="0.3">
      <c r="A79" s="4" t="s">
        <v>183</v>
      </c>
      <c r="B79">
        <v>1</v>
      </c>
      <c r="D79" s="4" t="s">
        <v>181</v>
      </c>
      <c r="E79" s="1">
        <v>72.17647058823529</v>
      </c>
      <c r="G79" s="4" t="s">
        <v>181</v>
      </c>
      <c r="H79">
        <v>87</v>
      </c>
    </row>
    <row r="80" spans="1:8" x14ac:dyDescent="0.3">
      <c r="A80" s="4" t="s">
        <v>184</v>
      </c>
      <c r="B80">
        <v>1</v>
      </c>
      <c r="D80" s="4" t="s">
        <v>183</v>
      </c>
      <c r="E80">
        <v>76</v>
      </c>
      <c r="G80" s="4" t="s">
        <v>183</v>
      </c>
      <c r="H80">
        <v>85</v>
      </c>
    </row>
    <row r="81" spans="1:8" x14ac:dyDescent="0.3">
      <c r="A81" s="4" t="s">
        <v>186</v>
      </c>
      <c r="B81">
        <v>1</v>
      </c>
      <c r="D81" s="4" t="s">
        <v>184</v>
      </c>
      <c r="E81">
        <v>73</v>
      </c>
      <c r="G81" s="4" t="s">
        <v>184</v>
      </c>
      <c r="H81">
        <v>59</v>
      </c>
    </row>
    <row r="82" spans="1:8" x14ac:dyDescent="0.3">
      <c r="A82" s="4" t="s">
        <v>188</v>
      </c>
      <c r="B82">
        <v>1</v>
      </c>
      <c r="D82" s="4" t="s">
        <v>186</v>
      </c>
      <c r="E82">
        <v>60</v>
      </c>
      <c r="G82" s="4" t="s">
        <v>186</v>
      </c>
      <c r="H82">
        <v>77</v>
      </c>
    </row>
    <row r="83" spans="1:8" x14ac:dyDescent="0.3">
      <c r="A83" s="4" t="s">
        <v>190</v>
      </c>
      <c r="B83">
        <v>1</v>
      </c>
      <c r="D83" s="4" t="s">
        <v>188</v>
      </c>
      <c r="E83">
        <v>99</v>
      </c>
      <c r="G83" s="4" t="s">
        <v>188</v>
      </c>
      <c r="H83">
        <v>58</v>
      </c>
    </row>
    <row r="84" spans="1:8" x14ac:dyDescent="0.3">
      <c r="A84" s="4" t="s">
        <v>192</v>
      </c>
      <c r="B84">
        <v>1</v>
      </c>
      <c r="D84" s="4" t="s">
        <v>190</v>
      </c>
      <c r="E84">
        <v>56</v>
      </c>
      <c r="G84" s="4" t="s">
        <v>190</v>
      </c>
      <c r="H84">
        <v>52</v>
      </c>
    </row>
    <row r="85" spans="1:8" x14ac:dyDescent="0.3">
      <c r="A85" s="4" t="s">
        <v>194</v>
      </c>
      <c r="B85">
        <v>1</v>
      </c>
      <c r="D85" s="4" t="s">
        <v>192</v>
      </c>
      <c r="E85">
        <v>53</v>
      </c>
      <c r="G85" s="4" t="s">
        <v>192</v>
      </c>
      <c r="H85">
        <v>69</v>
      </c>
    </row>
    <row r="86" spans="1:8" x14ac:dyDescent="0.3">
      <c r="A86" s="4" t="s">
        <v>196</v>
      </c>
      <c r="B86">
        <v>1</v>
      </c>
      <c r="D86" s="4" t="s">
        <v>194</v>
      </c>
      <c r="E86">
        <v>82</v>
      </c>
      <c r="G86" s="4" t="s">
        <v>194</v>
      </c>
      <c r="H86">
        <v>73</v>
      </c>
    </row>
    <row r="87" spans="1:8" x14ac:dyDescent="0.3">
      <c r="A87" s="4" t="s">
        <v>198</v>
      </c>
      <c r="B87">
        <v>1</v>
      </c>
      <c r="D87" s="4" t="s">
        <v>196</v>
      </c>
      <c r="E87">
        <v>85</v>
      </c>
      <c r="G87" s="4" t="s">
        <v>196</v>
      </c>
      <c r="H87">
        <v>100</v>
      </c>
    </row>
    <row r="88" spans="1:8" x14ac:dyDescent="0.3">
      <c r="A88" s="4" t="s">
        <v>200</v>
      </c>
      <c r="B88">
        <v>1</v>
      </c>
      <c r="D88" s="4" t="s">
        <v>198</v>
      </c>
      <c r="E88">
        <v>60</v>
      </c>
      <c r="G88" s="4" t="s">
        <v>198</v>
      </c>
      <c r="H88">
        <v>52</v>
      </c>
    </row>
    <row r="89" spans="1:8" x14ac:dyDescent="0.3">
      <c r="A89" s="4" t="s">
        <v>202</v>
      </c>
      <c r="B89">
        <v>1</v>
      </c>
      <c r="D89" s="4" t="s">
        <v>200</v>
      </c>
      <c r="E89">
        <v>55</v>
      </c>
      <c r="G89" s="4" t="s">
        <v>200</v>
      </c>
      <c r="H89">
        <v>72</v>
      </c>
    </row>
    <row r="90" spans="1:8" x14ac:dyDescent="0.3">
      <c r="A90" s="4" t="s">
        <v>204</v>
      </c>
      <c r="B90">
        <v>1</v>
      </c>
      <c r="D90" s="4" t="s">
        <v>202</v>
      </c>
      <c r="E90">
        <v>56</v>
      </c>
      <c r="G90" s="4" t="s">
        <v>202</v>
      </c>
      <c r="H90">
        <v>63</v>
      </c>
    </row>
    <row r="91" spans="1:8" x14ac:dyDescent="0.3">
      <c r="A91" s="4" t="s">
        <v>206</v>
      </c>
      <c r="B91">
        <v>1</v>
      </c>
      <c r="D91" s="4" t="s">
        <v>204</v>
      </c>
      <c r="E91">
        <v>65</v>
      </c>
      <c r="G91" s="4" t="s">
        <v>204</v>
      </c>
      <c r="H91">
        <v>93</v>
      </c>
    </row>
    <row r="92" spans="1:8" x14ac:dyDescent="0.3">
      <c r="A92" s="4" t="s">
        <v>208</v>
      </c>
      <c r="B92">
        <v>1</v>
      </c>
      <c r="D92" s="4" t="s">
        <v>206</v>
      </c>
      <c r="E92">
        <v>48</v>
      </c>
      <c r="G92" s="4" t="s">
        <v>206</v>
      </c>
      <c r="H92">
        <v>65</v>
      </c>
    </row>
    <row r="93" spans="1:8" x14ac:dyDescent="0.3">
      <c r="A93" s="4" t="s">
        <v>210</v>
      </c>
      <c r="B93">
        <v>1</v>
      </c>
      <c r="D93" s="4" t="s">
        <v>208</v>
      </c>
      <c r="E93">
        <v>82</v>
      </c>
      <c r="G93" s="4" t="s">
        <v>208</v>
      </c>
      <c r="H93">
        <v>92</v>
      </c>
    </row>
    <row r="94" spans="1:8" x14ac:dyDescent="0.3">
      <c r="A94" s="4" t="s">
        <v>212</v>
      </c>
      <c r="B94">
        <v>1</v>
      </c>
      <c r="D94" s="4" t="s">
        <v>210</v>
      </c>
      <c r="E94">
        <v>81</v>
      </c>
      <c r="G94" s="4" t="s">
        <v>210</v>
      </c>
      <c r="H94">
        <v>56</v>
      </c>
    </row>
    <row r="95" spans="1:8" x14ac:dyDescent="0.3">
      <c r="A95" s="4" t="s">
        <v>214</v>
      </c>
      <c r="B95">
        <v>1</v>
      </c>
      <c r="D95" s="4" t="s">
        <v>212</v>
      </c>
      <c r="E95">
        <v>59</v>
      </c>
      <c r="G95" s="4" t="s">
        <v>212</v>
      </c>
      <c r="H95">
        <v>72</v>
      </c>
    </row>
    <row r="96" spans="1:8" x14ac:dyDescent="0.3">
      <c r="A96" s="4" t="s">
        <v>216</v>
      </c>
      <c r="B96">
        <v>1</v>
      </c>
      <c r="D96" s="4" t="s">
        <v>214</v>
      </c>
      <c r="E96">
        <v>69</v>
      </c>
      <c r="G96" s="4" t="s">
        <v>214</v>
      </c>
      <c r="H96">
        <v>99</v>
      </c>
    </row>
    <row r="97" spans="1:8" x14ac:dyDescent="0.3">
      <c r="A97" s="4" t="s">
        <v>218</v>
      </c>
      <c r="B97">
        <v>1</v>
      </c>
      <c r="D97" s="4" t="s">
        <v>216</v>
      </c>
      <c r="E97" s="1">
        <v>68.173913043478265</v>
      </c>
      <c r="G97" s="4" t="s">
        <v>216</v>
      </c>
      <c r="H97">
        <v>85</v>
      </c>
    </row>
    <row r="98" spans="1:8" x14ac:dyDescent="0.3">
      <c r="A98" s="4" t="s">
        <v>220</v>
      </c>
      <c r="B98">
        <v>1</v>
      </c>
      <c r="D98" s="4" t="s">
        <v>218</v>
      </c>
      <c r="E98">
        <v>99</v>
      </c>
      <c r="G98" s="4" t="s">
        <v>218</v>
      </c>
      <c r="H98">
        <v>76</v>
      </c>
    </row>
    <row r="99" spans="1:8" x14ac:dyDescent="0.3">
      <c r="A99" s="4" t="s">
        <v>222</v>
      </c>
      <c r="B99">
        <v>1</v>
      </c>
      <c r="D99" s="4" t="s">
        <v>220</v>
      </c>
      <c r="E99">
        <v>88</v>
      </c>
      <c r="G99" s="4" t="s">
        <v>220</v>
      </c>
      <c r="H99">
        <v>89</v>
      </c>
    </row>
    <row r="100" spans="1:8" x14ac:dyDescent="0.3">
      <c r="A100" s="4" t="s">
        <v>224</v>
      </c>
      <c r="B100">
        <v>1</v>
      </c>
      <c r="D100" s="4" t="s">
        <v>222</v>
      </c>
      <c r="E100">
        <v>99</v>
      </c>
      <c r="G100" s="4" t="s">
        <v>222</v>
      </c>
      <c r="H100">
        <v>97</v>
      </c>
    </row>
    <row r="101" spans="1:8" x14ac:dyDescent="0.3">
      <c r="A101" s="4" t="s">
        <v>226</v>
      </c>
      <c r="B101">
        <v>1</v>
      </c>
      <c r="D101" s="4" t="s">
        <v>224</v>
      </c>
      <c r="E101">
        <v>44</v>
      </c>
      <c r="G101" s="4" t="s">
        <v>224</v>
      </c>
      <c r="H101">
        <v>59</v>
      </c>
    </row>
    <row r="102" spans="1:8" x14ac:dyDescent="0.3">
      <c r="A102" s="4" t="s">
        <v>234</v>
      </c>
      <c r="B102">
        <v>100</v>
      </c>
      <c r="D102" s="4" t="s">
        <v>226</v>
      </c>
      <c r="E102">
        <v>40</v>
      </c>
      <c r="G102" s="4" t="s">
        <v>226</v>
      </c>
      <c r="H102">
        <v>65</v>
      </c>
    </row>
    <row r="103" spans="1:8" x14ac:dyDescent="0.3">
      <c r="D103" s="4" t="s">
        <v>234</v>
      </c>
      <c r="E103" s="1">
        <v>69.247900121146856</v>
      </c>
      <c r="G103" s="4" t="s">
        <v>234</v>
      </c>
      <c r="H103" s="1">
        <v>73.407970494417853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2DBB-44BE-475A-9959-AF15F0D42457}">
  <dimension ref="B2:P3"/>
  <sheetViews>
    <sheetView showGridLines="0" tabSelected="1" zoomScale="80" zoomScaleNormal="80" workbookViewId="0">
      <selection activeCell="X14" sqref="X14"/>
    </sheetView>
  </sheetViews>
  <sheetFormatPr defaultRowHeight="14.4" x14ac:dyDescent="0.3"/>
  <cols>
    <col min="1" max="16384" width="8.88671875" style="2"/>
  </cols>
  <sheetData>
    <row r="2" spans="2:16" ht="14.4" customHeight="1" x14ac:dyDescent="0.3">
      <c r="B2" s="7" t="s">
        <v>233</v>
      </c>
      <c r="C2" s="7"/>
      <c r="D2" s="7"/>
      <c r="E2" s="7"/>
      <c r="F2" s="7"/>
      <c r="G2" s="7"/>
      <c r="H2" s="7"/>
      <c r="I2" s="7"/>
      <c r="J2" s="7"/>
      <c r="K2" s="7"/>
      <c r="L2" s="7"/>
      <c r="M2" s="7"/>
      <c r="N2" s="7"/>
      <c r="O2" s="7"/>
      <c r="P2" s="7"/>
    </row>
    <row r="3" spans="2:16" ht="14.4" customHeight="1" x14ac:dyDescent="0.3">
      <c r="B3" s="7"/>
      <c r="C3" s="7"/>
      <c r="D3" s="7"/>
      <c r="E3" s="7"/>
      <c r="F3" s="7"/>
      <c r="G3" s="7"/>
      <c r="H3" s="7"/>
      <c r="I3" s="7"/>
      <c r="J3" s="7"/>
      <c r="K3" s="7"/>
      <c r="L3" s="7"/>
      <c r="M3" s="7"/>
      <c r="N3" s="7"/>
      <c r="O3" s="7"/>
      <c r="P3" s="7"/>
    </row>
  </sheetData>
  <mergeCells count="1">
    <mergeCell ref="B2:P3"/>
  </mergeCells>
  <pageMargins left="0.70866141732283472" right="0.70866141732283472" top="0.74803149606299213" bottom="0.74803149606299213" header="0.31496062992125984" footer="0.31496062992125984"/>
  <pageSetup scale="22" fitToHeight="0"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77747E-EB90-4276-AF90-B48FBF45F8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M</dc:creator>
  <cp:lastModifiedBy>Keerthi M</cp:lastModifiedBy>
  <dcterms:created xsi:type="dcterms:W3CDTF">2026-08-04T14:17:43Z</dcterms:created>
  <dcterms:modified xsi:type="dcterms:W3CDTF">2026-08-06T11:43:03Z</dcterms:modified>
</cp:coreProperties>
</file>