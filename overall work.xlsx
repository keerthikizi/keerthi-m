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236" documentId="11_F25DC773A252ABDACC104884B999792C5ADE58EA" xr6:coauthVersionLast="47" xr6:coauthVersionMax="47" xr10:uidLastSave="{142BF96F-F207-459D-930C-04EC54560D0A}"/>
  <bookViews>
    <workbookView xWindow="-108" yWindow="-108" windowWidth="23256" windowHeight="12456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8" l="1"/>
  <c r="N4" i="8"/>
  <c r="N12" i="8"/>
  <c r="N11" i="8"/>
  <c r="M11" i="8"/>
  <c r="L3" i="8"/>
  <c r="L4" i="8"/>
  <c r="L5" i="8"/>
  <c r="L6" i="8"/>
  <c r="L7" i="8"/>
  <c r="L2" i="8"/>
  <c r="J11" i="8"/>
  <c r="J10" i="8"/>
  <c r="J3" i="8"/>
  <c r="J4" i="8"/>
  <c r="J5" i="8"/>
  <c r="J6" i="8"/>
  <c r="J7" i="8"/>
  <c r="J2" i="8"/>
  <c r="J2" i="7"/>
  <c r="J3" i="7"/>
  <c r="J4" i="7"/>
  <c r="J5" i="7"/>
  <c r="J6" i="7"/>
  <c r="J7" i="7"/>
  <c r="J1" i="7"/>
  <c r="H1" i="7"/>
  <c r="I2" i="7"/>
  <c r="I3" i="7"/>
  <c r="I4" i="7"/>
  <c r="I5" i="7"/>
  <c r="I6" i="7"/>
  <c r="I7" i="7"/>
  <c r="I1" i="7"/>
  <c r="H2" i="7"/>
  <c r="H3" i="7"/>
  <c r="H4" i="7"/>
  <c r="H5" i="7"/>
  <c r="H6" i="7"/>
  <c r="H7" i="7"/>
  <c r="G2" i="7"/>
  <c r="G3" i="7"/>
  <c r="G4" i="7"/>
  <c r="G5" i="7"/>
  <c r="G6" i="7"/>
  <c r="G7" i="7"/>
  <c r="G1" i="7"/>
  <c r="F2" i="7"/>
  <c r="F3" i="7"/>
  <c r="F4" i="7"/>
  <c r="F5" i="7"/>
  <c r="F6" i="7"/>
  <c r="F7" i="7"/>
  <c r="F1" i="7"/>
  <c r="E2" i="7"/>
  <c r="E3" i="7"/>
  <c r="E4" i="7"/>
  <c r="E5" i="7"/>
  <c r="E6" i="7"/>
  <c r="E7" i="7"/>
  <c r="E1" i="7"/>
  <c r="D2" i="7"/>
  <c r="D3" i="7"/>
  <c r="D4" i="7"/>
  <c r="D5" i="7"/>
  <c r="D6" i="7"/>
  <c r="D7" i="7"/>
  <c r="D1" i="7"/>
  <c r="C1" i="7"/>
  <c r="B1" i="7"/>
  <c r="K1" i="7" s="1"/>
  <c r="K2" i="7" l="1"/>
  <c r="D3" i="4" l="1"/>
  <c r="D4" i="4"/>
  <c r="D2" i="4"/>
  <c r="E2" i="3"/>
  <c r="S8" i="1" l="1"/>
  <c r="R8" i="1"/>
  <c r="Q8" i="1"/>
  <c r="P8" i="1"/>
  <c r="O8" i="1"/>
  <c r="N8" i="1"/>
  <c r="M8" i="1"/>
  <c r="Q5" i="1"/>
  <c r="P5" i="1"/>
  <c r="O5" i="1"/>
  <c r="N5" i="1"/>
  <c r="M5" i="1"/>
  <c r="L5" i="1"/>
  <c r="L6" i="1"/>
  <c r="L7" i="1"/>
  <c r="L8" i="1"/>
  <c r="L9" i="1"/>
  <c r="L10" i="1"/>
  <c r="L4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<sst xmlns="http://schemas.openxmlformats.org/spreadsheetml/2006/main" count="550" uniqueCount="167">
  <si>
    <t>StudentID</t>
  </si>
  <si>
    <t>Name</t>
  </si>
  <si>
    <t>Department</t>
  </si>
  <si>
    <t>Course</t>
  </si>
  <si>
    <t>Marks</t>
  </si>
  <si>
    <t>Attendance</t>
  </si>
  <si>
    <t>EnrollDate</t>
  </si>
  <si>
    <t>City</t>
  </si>
  <si>
    <t>Trainer</t>
  </si>
  <si>
    <t>Status</t>
  </si>
  <si>
    <t>STU001</t>
  </si>
  <si>
    <t>Student_1</t>
  </si>
  <si>
    <t>Engineering</t>
  </si>
  <si>
    <t>Python</t>
  </si>
  <si>
    <t>Delhi</t>
  </si>
  <si>
    <t>Rahul</t>
  </si>
  <si>
    <t>Inactive</t>
  </si>
  <si>
    <t>STU002</t>
  </si>
  <si>
    <t>Student_2</t>
  </si>
  <si>
    <t>Science</t>
  </si>
  <si>
    <t>WebDesign</t>
  </si>
  <si>
    <t>Chennai</t>
  </si>
  <si>
    <t>Varun</t>
  </si>
  <si>
    <t>STU003</t>
  </si>
  <si>
    <t>Student_3</t>
  </si>
  <si>
    <t>Commerce</t>
  </si>
  <si>
    <t>Kochi</t>
  </si>
  <si>
    <t>STU004</t>
  </si>
  <si>
    <t>Student_4</t>
  </si>
  <si>
    <t>DataAnalytics</t>
  </si>
  <si>
    <t>Meera</t>
  </si>
  <si>
    <t>STU005</t>
  </si>
  <si>
    <t>Student_5</t>
  </si>
  <si>
    <t>Excel</t>
  </si>
  <si>
    <t>Completed</t>
  </si>
  <si>
    <t>STU006</t>
  </si>
  <si>
    <t>Student_6</t>
  </si>
  <si>
    <t>Bangalore</t>
  </si>
  <si>
    <t>Athul</t>
  </si>
  <si>
    <t>Active</t>
  </si>
  <si>
    <t>STU007</t>
  </si>
  <si>
    <t>Student_7</t>
  </si>
  <si>
    <t>IT</t>
  </si>
  <si>
    <t>Mumbai</t>
  </si>
  <si>
    <t>STU008</t>
  </si>
  <si>
    <t>Student_8</t>
  </si>
  <si>
    <t>Neha</t>
  </si>
  <si>
    <t>STU009</t>
  </si>
  <si>
    <t>Student_9</t>
  </si>
  <si>
    <t>Arts</t>
  </si>
  <si>
    <t>STU010</t>
  </si>
  <si>
    <t>Student_10</t>
  </si>
  <si>
    <t>AI_ML</t>
  </si>
  <si>
    <t>STU011</t>
  </si>
  <si>
    <t>STU012</t>
  </si>
  <si>
    <t>STU013</t>
  </si>
  <si>
    <t>Student_13</t>
  </si>
  <si>
    <t>STU014</t>
  </si>
  <si>
    <t>Student_14</t>
  </si>
  <si>
    <t>STU015</t>
  </si>
  <si>
    <t>Student_15</t>
  </si>
  <si>
    <t>STU016</t>
  </si>
  <si>
    <t>Student_16</t>
  </si>
  <si>
    <t>STU017</t>
  </si>
  <si>
    <t>Student_17</t>
  </si>
  <si>
    <t>STU018</t>
  </si>
  <si>
    <t>Student_18</t>
  </si>
  <si>
    <t>STU019</t>
  </si>
  <si>
    <t>Student_19</t>
  </si>
  <si>
    <t>STU020</t>
  </si>
  <si>
    <t>Student_20</t>
  </si>
  <si>
    <t>STU021</t>
  </si>
  <si>
    <t>Student_21</t>
  </si>
  <si>
    <t>STU022</t>
  </si>
  <si>
    <t>Student_22</t>
  </si>
  <si>
    <t>STU023</t>
  </si>
  <si>
    <t>Student_23</t>
  </si>
  <si>
    <t>STU024</t>
  </si>
  <si>
    <t>Student_24</t>
  </si>
  <si>
    <t>STU025</t>
  </si>
  <si>
    <t>Student_25</t>
  </si>
  <si>
    <t>STU026</t>
  </si>
  <si>
    <t>Student_26</t>
  </si>
  <si>
    <t>STU027</t>
  </si>
  <si>
    <t>Student_27</t>
  </si>
  <si>
    <t>STU028</t>
  </si>
  <si>
    <t>Student_28</t>
  </si>
  <si>
    <t>STU029</t>
  </si>
  <si>
    <t>Student_29</t>
  </si>
  <si>
    <t>sum</t>
  </si>
  <si>
    <t>average</t>
  </si>
  <si>
    <t>median</t>
  </si>
  <si>
    <t>mode</t>
  </si>
  <si>
    <t>std</t>
  </si>
  <si>
    <t>var</t>
  </si>
  <si>
    <t>min</t>
  </si>
  <si>
    <t>max</t>
  </si>
  <si>
    <t>if</t>
  </si>
  <si>
    <t>averageif</t>
  </si>
  <si>
    <t>sumif</t>
  </si>
  <si>
    <t>count</t>
  </si>
  <si>
    <t>counta</t>
  </si>
  <si>
    <t>countif</t>
  </si>
  <si>
    <t>left</t>
  </si>
  <si>
    <t>right</t>
  </si>
  <si>
    <t>mid</t>
  </si>
  <si>
    <t>proper</t>
  </si>
  <si>
    <t>upper</t>
  </si>
  <si>
    <t>lower</t>
  </si>
  <si>
    <t>concat</t>
  </si>
  <si>
    <t>Student</t>
  </si>
  <si>
    <t>course</t>
  </si>
  <si>
    <t>python</t>
  </si>
  <si>
    <t>webdesign</t>
  </si>
  <si>
    <t>marks</t>
  </si>
  <si>
    <t>product</t>
  </si>
  <si>
    <t>pen</t>
  </si>
  <si>
    <t>pencil</t>
  </si>
  <si>
    <t>paper</t>
  </si>
  <si>
    <t>quantity</t>
  </si>
  <si>
    <t>price</t>
  </si>
  <si>
    <t>sales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</si>
  <si>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</si>
  <si>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</si>
  <si>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</si>
  <si>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</si>
  <si>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</si>
  <si>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</si>
  <si>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</si>
  <si>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</si>
  <si>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</si>
  <si>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</si>
  <si>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</si>
  <si>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</si>
  <si>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</si>
  <si>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</si>
  <si>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product id</t>
  </si>
  <si>
    <t>supplier</t>
  </si>
  <si>
    <t>stock</t>
  </si>
  <si>
    <t>warehouse</t>
  </si>
  <si>
    <t>P101</t>
  </si>
  <si>
    <t>LAPTOP</t>
  </si>
  <si>
    <t>DELL</t>
  </si>
  <si>
    <t>A</t>
  </si>
  <si>
    <t>P102</t>
  </si>
  <si>
    <t>MOUSE</t>
  </si>
  <si>
    <t>LOGITECH</t>
  </si>
  <si>
    <t>B</t>
  </si>
  <si>
    <t>P103</t>
  </si>
  <si>
    <t>KEYBOARD</t>
  </si>
  <si>
    <t>P104</t>
  </si>
  <si>
    <t>MONITOR</t>
  </si>
  <si>
    <t>SAMSUNG</t>
  </si>
  <si>
    <t>C</t>
  </si>
  <si>
    <t>P105</t>
  </si>
  <si>
    <t>PRINTER</t>
  </si>
  <si>
    <t>HP</t>
  </si>
  <si>
    <t>P106</t>
  </si>
  <si>
    <t>WEBCAM</t>
  </si>
  <si>
    <t>id</t>
  </si>
  <si>
    <t>PRODUCT ID</t>
  </si>
  <si>
    <t>PRICE</t>
  </si>
  <si>
    <t>p101</t>
  </si>
  <si>
    <t>p102</t>
  </si>
  <si>
    <t>p103</t>
  </si>
  <si>
    <t>p104</t>
  </si>
  <si>
    <t>p105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</si>
</sst>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3" fillId="0" borderId="4" xfId="0" applyFont="1" applyBorder="1" applyAlignment="1">
      <alignment horizontal="centerContinuous"/>
    </xf>
    <xf numFmtId="14" fontId="0" fillId="2" borderId="5" xfId="0" applyNumberFormat="1" applyFill="1" applyBorder="1"/>
    <xf numFmtId="14" fontId="0" fillId="0" borderId="5" xfId="0" applyNumberFormat="1" applyBorder="1"/>
    <xf numFmtId="14" fontId="0" fillId="0" borderId="0" xfId="0" applyNumberFormat="1"/>
    <xf numFmtId="22" fontId="0" fillId="0" borderId="0" xfId="0" applyNumberFormat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zoomScale="87" workbookViewId="0">
      <selection sqref="A1:J30"/>
    </sheetView>
  </sheetViews>
  <sheetFormatPr defaultRowHeight="14.4" x14ac:dyDescent="0.3"/>
  <cols>
    <col min="1" max="1" width="9.44140625" bestFit="1" customWidth="1"/>
    <col min="2" max="2" width="10.33203125" bestFit="1" customWidth="1"/>
    <col min="3" max="3" width="11.109375" bestFit="1" customWidth="1"/>
    <col min="4" max="4" width="12.109375" bestFit="1" customWidth="1"/>
    <col min="5" max="5" width="6.21875" bestFit="1" customWidth="1"/>
    <col min="6" max="6" width="10.77734375" bestFit="1" customWidth="1"/>
    <col min="7" max="7" width="18.109375" bestFit="1" customWidth="1"/>
    <col min="19" max="19" width="13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  <c r="S1" t="s">
        <v>96</v>
      </c>
    </row>
    <row r="2" spans="1:19" x14ac:dyDescent="0.3">
      <c r="A2" t="s">
        <v>10</v>
      </c>
      <c r="B2" t="s">
        <v>11</v>
      </c>
      <c r="C2" t="s">
        <v>12</v>
      </c>
      <c r="D2" t="s">
        <v>13</v>
      </c>
      <c r="E2">
        <v>45</v>
      </c>
      <c r="F2">
        <v>79</v>
      </c>
      <c r="G2" s="2">
        <v>45375</v>
      </c>
      <c r="H2" t="s">
        <v>14</v>
      </c>
      <c r="I2" t="s">
        <v>15</v>
      </c>
      <c r="J2" t="s">
        <v>16</v>
      </c>
      <c r="L2">
        <f>SUM(E2:E30)</f>
        <v>2073</v>
      </c>
      <c r="M2">
        <f>AVERAGE(E2:E30)</f>
        <v>71.482758620689651</v>
      </c>
      <c r="N2">
        <f>MEDIAN(E2:E30)</f>
        <v>69</v>
      </c>
      <c r="O2">
        <f>MODE(E2:E30)</f>
        <v>90</v>
      </c>
      <c r="P2">
        <f>_xlfn.STDEV.S(E2:E30)</f>
        <v>18.498302411795162</v>
      </c>
      <c r="Q2">
        <f>_xlfn.VAR.S(E2:E30)</f>
        <v>342.18719211822673</v>
      </c>
      <c r="R2">
        <f>MIN(F2:F30)</f>
        <v>50</v>
      </c>
      <c r="S2">
        <f>MAX(E2:E30)</f>
        <v>99</v>
      </c>
    </row>
    <row r="3" spans="1:19" x14ac:dyDescent="0.3">
      <c r="A3" t="s">
        <v>17</v>
      </c>
      <c r="B3" t="s">
        <v>18</v>
      </c>
      <c r="C3" t="s">
        <v>19</v>
      </c>
      <c r="D3" t="s">
        <v>20</v>
      </c>
      <c r="E3">
        <v>99</v>
      </c>
      <c r="F3">
        <v>89</v>
      </c>
      <c r="G3" s="2">
        <v>45382</v>
      </c>
      <c r="H3" t="s">
        <v>21</v>
      </c>
      <c r="I3" t="s">
        <v>22</v>
      </c>
      <c r="J3" t="s">
        <v>16</v>
      </c>
      <c r="L3" s="4" t="s">
        <v>97</v>
      </c>
    </row>
    <row r="4" spans="1:19" x14ac:dyDescent="0.3">
      <c r="A4" t="s">
        <v>23</v>
      </c>
      <c r="B4" t="s">
        <v>24</v>
      </c>
      <c r="C4" t="s">
        <v>25</v>
      </c>
      <c r="D4" t="s">
        <v>20</v>
      </c>
      <c r="E4">
        <v>88</v>
      </c>
      <c r="F4">
        <v>86</v>
      </c>
      <c r="G4" s="2">
        <v>45503</v>
      </c>
      <c r="H4" t="s">
        <v>26</v>
      </c>
      <c r="I4" t="s">
        <v>15</v>
      </c>
      <c r="J4" t="s">
        <v>16</v>
      </c>
      <c r="L4" t="str">
        <f>IF(E2&gt;=50,"pass","fail")</f>
        <v>fail</v>
      </c>
      <c r="M4" s="4" t="s">
        <v>98</v>
      </c>
      <c r="N4" t="s">
        <v>99</v>
      </c>
      <c r="O4" t="s">
        <v>100</v>
      </c>
      <c r="P4" t="s">
        <v>101</v>
      </c>
      <c r="Q4" t="s">
        <v>102</v>
      </c>
    </row>
    <row r="5" spans="1:19" x14ac:dyDescent="0.3">
      <c r="A5" t="s">
        <v>27</v>
      </c>
      <c r="B5" t="s">
        <v>28</v>
      </c>
      <c r="C5" t="s">
        <v>25</v>
      </c>
      <c r="D5" t="s">
        <v>29</v>
      </c>
      <c r="E5">
        <v>94</v>
      </c>
      <c r="G5" s="2">
        <v>45304</v>
      </c>
      <c r="H5" t="s">
        <v>26</v>
      </c>
      <c r="I5" t="s">
        <v>30</v>
      </c>
      <c r="J5" t="s">
        <v>16</v>
      </c>
      <c r="L5" t="str">
        <f t="shared" ref="L5:L10" si="0">IF(E3&gt;=50,"pass","fail")</f>
        <v>pass</v>
      </c>
      <c r="M5">
        <f>AVERAGEIF(D2:D30,D2,E2:E30)</f>
        <v>67.666666666666671</v>
      </c>
      <c r="N5">
        <f>SUMIF(C2:C30,C3,E2:E30)</f>
        <v>696</v>
      </c>
      <c r="O5">
        <f>COUNT(E2:E30)</f>
        <v>29</v>
      </c>
      <c r="P5">
        <f>COUNTA(C2:C30)</f>
        <v>29</v>
      </c>
      <c r="Q5">
        <f>COUNTIF(D2:D30,D4)</f>
        <v>7</v>
      </c>
    </row>
    <row r="6" spans="1:19" x14ac:dyDescent="0.3">
      <c r="A6" t="s">
        <v>31</v>
      </c>
      <c r="B6" t="s">
        <v>32</v>
      </c>
      <c r="C6" t="s">
        <v>12</v>
      </c>
      <c r="D6" t="s">
        <v>33</v>
      </c>
      <c r="E6">
        <v>55</v>
      </c>
      <c r="F6">
        <v>54</v>
      </c>
      <c r="G6" s="2">
        <v>45383</v>
      </c>
      <c r="H6" t="s">
        <v>21</v>
      </c>
      <c r="I6" t="s">
        <v>22</v>
      </c>
      <c r="J6" t="s">
        <v>34</v>
      </c>
      <c r="L6" t="str">
        <f t="shared" si="0"/>
        <v>pass</v>
      </c>
    </row>
    <row r="7" spans="1:19" x14ac:dyDescent="0.3">
      <c r="A7" t="s">
        <v>35</v>
      </c>
      <c r="B7" t="s">
        <v>36</v>
      </c>
      <c r="C7" t="s">
        <v>12</v>
      </c>
      <c r="D7" t="s">
        <v>20</v>
      </c>
      <c r="E7">
        <v>50</v>
      </c>
      <c r="G7" s="2">
        <v>45462</v>
      </c>
      <c r="H7" t="s">
        <v>37</v>
      </c>
      <c r="I7" t="s">
        <v>38</v>
      </c>
      <c r="J7" t="s">
        <v>39</v>
      </c>
      <c r="L7" t="str">
        <f t="shared" si="0"/>
        <v>pass</v>
      </c>
      <c r="M7" s="4" t="s">
        <v>103</v>
      </c>
      <c r="N7" t="s">
        <v>104</v>
      </c>
      <c r="O7" t="s">
        <v>105</v>
      </c>
      <c r="P7" t="s">
        <v>106</v>
      </c>
      <c r="Q7" t="s">
        <v>107</v>
      </c>
      <c r="R7" t="s">
        <v>108</v>
      </c>
      <c r="S7" t="s">
        <v>109</v>
      </c>
    </row>
    <row r="8" spans="1:19" x14ac:dyDescent="0.3">
      <c r="A8" t="s">
        <v>40</v>
      </c>
      <c r="B8" t="s">
        <v>41</v>
      </c>
      <c r="C8" t="s">
        <v>42</v>
      </c>
      <c r="D8" t="s">
        <v>13</v>
      </c>
      <c r="E8">
        <v>66</v>
      </c>
      <c r="F8">
        <v>63</v>
      </c>
      <c r="G8" s="2">
        <v>45502</v>
      </c>
      <c r="H8" t="s">
        <v>43</v>
      </c>
      <c r="I8" t="s">
        <v>38</v>
      </c>
      <c r="J8" t="s">
        <v>34</v>
      </c>
      <c r="L8" t="str">
        <f t="shared" si="0"/>
        <v>pass</v>
      </c>
      <c r="M8" t="str">
        <f>LEFT(I2,3)</f>
        <v>Rah</v>
      </c>
      <c r="N8" t="str">
        <f>RIGHT(I2,3)</f>
        <v>hul</v>
      </c>
      <c r="O8" t="str">
        <f>MID(I2,2,4)</f>
        <v>ahul</v>
      </c>
      <c r="P8" t="str">
        <f>PROPER(I2)</f>
        <v>Rahul</v>
      </c>
      <c r="Q8" t="str">
        <f>UPPER(I2)</f>
        <v>RAHUL</v>
      </c>
      <c r="R8" t="str">
        <f>LOWER(I2)</f>
        <v>rahul</v>
      </c>
      <c r="S8" t="str">
        <f>_xlfn.CONCAT(I2,"_",D2)</f>
        <v>Rahul_Python</v>
      </c>
    </row>
    <row r="9" spans="1:19" x14ac:dyDescent="0.3">
      <c r="A9" t="s">
        <v>44</v>
      </c>
      <c r="B9" t="s">
        <v>45</v>
      </c>
      <c r="C9" t="s">
        <v>19</v>
      </c>
      <c r="D9" t="s">
        <v>29</v>
      </c>
      <c r="E9">
        <v>71</v>
      </c>
      <c r="F9">
        <v>82</v>
      </c>
      <c r="G9" s="2">
        <v>45419</v>
      </c>
      <c r="H9" t="s">
        <v>26</v>
      </c>
      <c r="I9" t="s">
        <v>46</v>
      </c>
      <c r="J9" t="s">
        <v>39</v>
      </c>
      <c r="L9" t="str">
        <f t="shared" si="0"/>
        <v>pass</v>
      </c>
    </row>
    <row r="10" spans="1:19" x14ac:dyDescent="0.3">
      <c r="A10" t="s">
        <v>47</v>
      </c>
      <c r="B10" t="s">
        <v>48</v>
      </c>
      <c r="C10" t="s">
        <v>49</v>
      </c>
      <c r="D10" t="s">
        <v>29</v>
      </c>
      <c r="E10">
        <v>70</v>
      </c>
      <c r="F10">
        <v>66</v>
      </c>
      <c r="G10" s="2">
        <v>45428</v>
      </c>
      <c r="H10" t="s">
        <v>37</v>
      </c>
      <c r="I10" t="s">
        <v>30</v>
      </c>
      <c r="J10" t="s">
        <v>39</v>
      </c>
      <c r="L10" t="str">
        <f t="shared" si="0"/>
        <v>pass</v>
      </c>
    </row>
    <row r="11" spans="1:19" x14ac:dyDescent="0.3">
      <c r="A11" t="s">
        <v>50</v>
      </c>
      <c r="B11" t="s">
        <v>51</v>
      </c>
      <c r="C11" t="s">
        <v>19</v>
      </c>
      <c r="D11" t="s">
        <v>52</v>
      </c>
      <c r="E11">
        <v>53</v>
      </c>
      <c r="F11">
        <v>58</v>
      </c>
      <c r="G11" s="2">
        <v>45373</v>
      </c>
      <c r="H11" t="s">
        <v>14</v>
      </c>
      <c r="I11" t="s">
        <v>22</v>
      </c>
      <c r="J11" t="s">
        <v>39</v>
      </c>
    </row>
    <row r="12" spans="1:19" x14ac:dyDescent="0.3">
      <c r="A12" t="s">
        <v>53</v>
      </c>
      <c r="C12" t="s">
        <v>25</v>
      </c>
      <c r="D12" t="s">
        <v>52</v>
      </c>
      <c r="E12">
        <v>95</v>
      </c>
      <c r="F12">
        <v>72</v>
      </c>
      <c r="G12" s="2">
        <v>45347</v>
      </c>
      <c r="H12" t="s">
        <v>26</v>
      </c>
      <c r="I12" t="s">
        <v>15</v>
      </c>
      <c r="J12" t="s">
        <v>39</v>
      </c>
    </row>
    <row r="13" spans="1:19" x14ac:dyDescent="0.3">
      <c r="A13" t="s">
        <v>54</v>
      </c>
      <c r="C13" t="s">
        <v>49</v>
      </c>
      <c r="D13" t="s">
        <v>33</v>
      </c>
      <c r="E13">
        <v>65</v>
      </c>
      <c r="F13">
        <v>54</v>
      </c>
      <c r="G13" s="2">
        <v>45487</v>
      </c>
      <c r="H13" t="s">
        <v>14</v>
      </c>
      <c r="I13" t="s">
        <v>15</v>
      </c>
      <c r="J13" t="s">
        <v>39</v>
      </c>
    </row>
    <row r="14" spans="1:19" x14ac:dyDescent="0.3">
      <c r="A14" t="s">
        <v>55</v>
      </c>
      <c r="B14" t="s">
        <v>56</v>
      </c>
      <c r="C14" t="s">
        <v>19</v>
      </c>
      <c r="D14" t="s">
        <v>29</v>
      </c>
      <c r="E14">
        <v>97</v>
      </c>
      <c r="F14">
        <v>65</v>
      </c>
      <c r="G14" s="2">
        <v>45311</v>
      </c>
      <c r="H14" t="s">
        <v>37</v>
      </c>
      <c r="I14" t="s">
        <v>15</v>
      </c>
      <c r="J14" t="s">
        <v>16</v>
      </c>
    </row>
    <row r="15" spans="1:19" x14ac:dyDescent="0.3">
      <c r="A15" t="s">
        <v>57</v>
      </c>
      <c r="B15" t="s">
        <v>58</v>
      </c>
      <c r="C15" t="s">
        <v>19</v>
      </c>
      <c r="D15" t="s">
        <v>13</v>
      </c>
      <c r="E15">
        <v>43</v>
      </c>
      <c r="F15">
        <v>73</v>
      </c>
      <c r="G15" s="2">
        <v>45532</v>
      </c>
      <c r="H15" t="s">
        <v>21</v>
      </c>
      <c r="I15" t="s">
        <v>15</v>
      </c>
      <c r="J15" t="s">
        <v>34</v>
      </c>
    </row>
    <row r="16" spans="1:19" x14ac:dyDescent="0.3">
      <c r="A16" t="s">
        <v>59</v>
      </c>
      <c r="B16" t="s">
        <v>60</v>
      </c>
      <c r="C16" t="s">
        <v>12</v>
      </c>
      <c r="D16" t="s">
        <v>52</v>
      </c>
      <c r="E16">
        <v>50</v>
      </c>
      <c r="F16">
        <v>68</v>
      </c>
      <c r="G16" s="2">
        <v>45405</v>
      </c>
      <c r="H16" t="s">
        <v>14</v>
      </c>
      <c r="I16" t="s">
        <v>30</v>
      </c>
      <c r="J16" t="s">
        <v>39</v>
      </c>
    </row>
    <row r="17" spans="1:10" x14ac:dyDescent="0.3">
      <c r="A17" t="s">
        <v>61</v>
      </c>
      <c r="B17" t="s">
        <v>62</v>
      </c>
      <c r="C17" t="s">
        <v>49</v>
      </c>
      <c r="D17" t="s">
        <v>52</v>
      </c>
      <c r="E17">
        <v>64</v>
      </c>
      <c r="F17">
        <v>60</v>
      </c>
      <c r="G17" s="2">
        <v>45394</v>
      </c>
      <c r="H17" t="s">
        <v>26</v>
      </c>
      <c r="I17" t="s">
        <v>38</v>
      </c>
      <c r="J17" t="s">
        <v>39</v>
      </c>
    </row>
    <row r="18" spans="1:10" x14ac:dyDescent="0.3">
      <c r="A18" t="s">
        <v>63</v>
      </c>
      <c r="B18" t="s">
        <v>64</v>
      </c>
      <c r="C18" t="s">
        <v>25</v>
      </c>
      <c r="D18" t="s">
        <v>33</v>
      </c>
      <c r="E18">
        <v>40</v>
      </c>
      <c r="F18">
        <v>78</v>
      </c>
      <c r="G18" s="2">
        <v>45527</v>
      </c>
      <c r="H18" t="s">
        <v>14</v>
      </c>
      <c r="I18" t="s">
        <v>38</v>
      </c>
      <c r="J18" t="s">
        <v>16</v>
      </c>
    </row>
    <row r="19" spans="1:10" x14ac:dyDescent="0.3">
      <c r="A19" t="s">
        <v>65</v>
      </c>
      <c r="B19" t="s">
        <v>66</v>
      </c>
      <c r="C19" t="s">
        <v>49</v>
      </c>
      <c r="D19" t="s">
        <v>20</v>
      </c>
      <c r="E19">
        <v>64</v>
      </c>
      <c r="F19">
        <v>84</v>
      </c>
      <c r="G19" s="2">
        <v>45471</v>
      </c>
      <c r="H19" t="s">
        <v>14</v>
      </c>
      <c r="I19" t="s">
        <v>38</v>
      </c>
      <c r="J19" t="s">
        <v>34</v>
      </c>
    </row>
    <row r="20" spans="1:10" x14ac:dyDescent="0.3">
      <c r="A20" t="s">
        <v>67</v>
      </c>
      <c r="B20" t="s">
        <v>68</v>
      </c>
      <c r="C20" t="s">
        <v>42</v>
      </c>
      <c r="D20" t="s">
        <v>20</v>
      </c>
      <c r="E20">
        <v>56</v>
      </c>
      <c r="F20">
        <v>95</v>
      </c>
      <c r="G20" s="2">
        <v>45448</v>
      </c>
      <c r="H20" t="s">
        <v>26</v>
      </c>
      <c r="I20" t="s">
        <v>38</v>
      </c>
      <c r="J20" t="s">
        <v>34</v>
      </c>
    </row>
    <row r="21" spans="1:10" x14ac:dyDescent="0.3">
      <c r="A21" t="s">
        <v>69</v>
      </c>
      <c r="B21" t="s">
        <v>70</v>
      </c>
      <c r="C21" t="s">
        <v>19</v>
      </c>
      <c r="D21" t="s">
        <v>13</v>
      </c>
      <c r="E21">
        <v>99</v>
      </c>
      <c r="F21">
        <v>69</v>
      </c>
      <c r="G21" s="2">
        <v>45408</v>
      </c>
      <c r="H21" t="s">
        <v>37</v>
      </c>
      <c r="I21" t="s">
        <v>15</v>
      </c>
      <c r="J21" t="s">
        <v>16</v>
      </c>
    </row>
    <row r="22" spans="1:10" x14ac:dyDescent="0.3">
      <c r="A22" t="s">
        <v>71</v>
      </c>
      <c r="B22" t="s">
        <v>72</v>
      </c>
      <c r="C22" t="s">
        <v>42</v>
      </c>
      <c r="D22" t="s">
        <v>20</v>
      </c>
      <c r="E22">
        <v>90</v>
      </c>
      <c r="F22">
        <v>89</v>
      </c>
      <c r="G22" s="2">
        <v>45406</v>
      </c>
      <c r="H22" t="s">
        <v>26</v>
      </c>
      <c r="I22" t="s">
        <v>46</v>
      </c>
      <c r="J22" t="s">
        <v>39</v>
      </c>
    </row>
    <row r="23" spans="1:10" x14ac:dyDescent="0.3">
      <c r="A23" t="s">
        <v>73</v>
      </c>
      <c r="B23" t="s">
        <v>74</v>
      </c>
      <c r="C23" t="s">
        <v>12</v>
      </c>
      <c r="D23" t="s">
        <v>29</v>
      </c>
      <c r="E23">
        <v>90</v>
      </c>
      <c r="F23">
        <v>91</v>
      </c>
      <c r="G23" s="2">
        <v>45304</v>
      </c>
      <c r="H23" t="s">
        <v>43</v>
      </c>
      <c r="I23" t="s">
        <v>22</v>
      </c>
      <c r="J23" t="s">
        <v>39</v>
      </c>
    </row>
    <row r="24" spans="1:10" x14ac:dyDescent="0.3">
      <c r="A24" t="s">
        <v>75</v>
      </c>
      <c r="B24" t="s">
        <v>76</v>
      </c>
      <c r="C24" t="s">
        <v>25</v>
      </c>
      <c r="D24" t="s">
        <v>20</v>
      </c>
      <c r="E24">
        <v>69</v>
      </c>
      <c r="F24">
        <v>83</v>
      </c>
      <c r="G24" s="2">
        <v>45390</v>
      </c>
      <c r="H24" t="s">
        <v>37</v>
      </c>
      <c r="I24" t="s">
        <v>15</v>
      </c>
      <c r="J24" t="s">
        <v>39</v>
      </c>
    </row>
    <row r="25" spans="1:10" x14ac:dyDescent="0.3">
      <c r="A25" t="s">
        <v>77</v>
      </c>
      <c r="B25" t="s">
        <v>78</v>
      </c>
      <c r="C25" t="s">
        <v>19</v>
      </c>
      <c r="D25" t="s">
        <v>29</v>
      </c>
      <c r="E25">
        <v>58</v>
      </c>
      <c r="F25">
        <v>50</v>
      </c>
      <c r="G25" s="2">
        <v>45496</v>
      </c>
      <c r="H25" t="s">
        <v>26</v>
      </c>
      <c r="I25" t="s">
        <v>15</v>
      </c>
      <c r="J25" t="s">
        <v>39</v>
      </c>
    </row>
    <row r="26" spans="1:10" x14ac:dyDescent="0.3">
      <c r="A26" t="s">
        <v>79</v>
      </c>
      <c r="B26" t="s">
        <v>80</v>
      </c>
      <c r="C26" t="s">
        <v>42</v>
      </c>
      <c r="D26" t="s">
        <v>13</v>
      </c>
      <c r="E26">
        <v>67</v>
      </c>
      <c r="F26">
        <v>92</v>
      </c>
      <c r="G26" s="2">
        <v>45460</v>
      </c>
      <c r="H26" t="s">
        <v>21</v>
      </c>
      <c r="I26" t="s">
        <v>38</v>
      </c>
      <c r="J26" t="s">
        <v>39</v>
      </c>
    </row>
    <row r="27" spans="1:10" x14ac:dyDescent="0.3">
      <c r="A27" t="s">
        <v>81</v>
      </c>
      <c r="B27" t="s">
        <v>82</v>
      </c>
      <c r="C27" t="s">
        <v>25</v>
      </c>
      <c r="D27" t="s">
        <v>33</v>
      </c>
      <c r="E27">
        <v>84</v>
      </c>
      <c r="F27">
        <v>85</v>
      </c>
      <c r="G27" s="2">
        <v>45434</v>
      </c>
      <c r="H27" t="s">
        <v>43</v>
      </c>
      <c r="I27" t="s">
        <v>15</v>
      </c>
      <c r="J27" t="s">
        <v>39</v>
      </c>
    </row>
    <row r="28" spans="1:10" x14ac:dyDescent="0.3">
      <c r="A28" t="s">
        <v>83</v>
      </c>
      <c r="B28" t="s">
        <v>84</v>
      </c>
      <c r="C28" t="s">
        <v>19</v>
      </c>
      <c r="D28" t="s">
        <v>13</v>
      </c>
      <c r="E28">
        <v>86</v>
      </c>
      <c r="F28">
        <v>69</v>
      </c>
      <c r="G28" s="2">
        <v>45327</v>
      </c>
      <c r="H28" t="s">
        <v>37</v>
      </c>
      <c r="I28" t="s">
        <v>15</v>
      </c>
      <c r="J28" t="s">
        <v>16</v>
      </c>
    </row>
    <row r="29" spans="1:10" x14ac:dyDescent="0.3">
      <c r="A29" t="s">
        <v>85</v>
      </c>
      <c r="B29" t="s">
        <v>86</v>
      </c>
      <c r="C29" t="s">
        <v>19</v>
      </c>
      <c r="D29" t="s">
        <v>52</v>
      </c>
      <c r="E29">
        <v>90</v>
      </c>
      <c r="F29">
        <v>92</v>
      </c>
      <c r="G29" s="2">
        <v>45434</v>
      </c>
      <c r="H29" t="s">
        <v>43</v>
      </c>
      <c r="I29" t="s">
        <v>38</v>
      </c>
      <c r="J29" t="s">
        <v>39</v>
      </c>
    </row>
    <row r="30" spans="1:10" x14ac:dyDescent="0.3">
      <c r="A30" t="s">
        <v>87</v>
      </c>
      <c r="B30" t="s">
        <v>88</v>
      </c>
      <c r="C30" t="s">
        <v>42</v>
      </c>
      <c r="D30" t="s">
        <v>52</v>
      </c>
      <c r="E30">
        <v>75</v>
      </c>
      <c r="F30">
        <v>56</v>
      </c>
      <c r="G30" s="2">
        <v>45471</v>
      </c>
      <c r="H30" t="s">
        <v>14</v>
      </c>
      <c r="I30" t="s">
        <v>30</v>
      </c>
      <c r="J3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42DF-8099-4429-B495-277FEE508DE9}">
  <dimension ref="A1:M30"/>
  <sheetViews>
    <sheetView zoomScale="111" workbookViewId="0">
      <selection activeCell="L3" sqref="L3"/>
    </sheetView>
  </sheetViews>
  <sheetFormatPr defaultRowHeight="14.4" x14ac:dyDescent="0.3"/>
  <cols>
    <col min="2" max="2" width="10.5546875" bestFit="1" customWidth="1"/>
    <col min="3" max="3" width="11.109375" bestFit="1" customWidth="1"/>
    <col min="4" max="4" width="12.33203125" bestFit="1" customWidth="1"/>
    <col min="7" max="7" width="18.109375" bestFit="1" customWidth="1"/>
    <col min="10" max="10" width="1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>
        <v>45</v>
      </c>
      <c r="F2">
        <v>79</v>
      </c>
      <c r="G2" s="2">
        <v>45375</v>
      </c>
      <c r="H2" t="s">
        <v>14</v>
      </c>
      <c r="I2" t="s">
        <v>15</v>
      </c>
      <c r="J2" t="s">
        <v>16</v>
      </c>
      <c r="L2" t="s">
        <v>110</v>
      </c>
      <c r="M2">
        <v>1</v>
      </c>
    </row>
    <row r="3" spans="1:13" x14ac:dyDescent="0.3">
      <c r="A3" t="s">
        <v>17</v>
      </c>
      <c r="B3" t="s">
        <v>18</v>
      </c>
      <c r="C3" t="s">
        <v>19</v>
      </c>
      <c r="D3" t="s">
        <v>20</v>
      </c>
      <c r="E3">
        <v>99</v>
      </c>
      <c r="F3">
        <v>89</v>
      </c>
      <c r="G3" s="2">
        <v>45382</v>
      </c>
      <c r="H3" t="s">
        <v>21</v>
      </c>
      <c r="I3" t="s">
        <v>22</v>
      </c>
      <c r="J3" t="s">
        <v>16</v>
      </c>
    </row>
    <row r="4" spans="1:13" x14ac:dyDescent="0.3">
      <c r="A4" t="s">
        <v>23</v>
      </c>
      <c r="B4" t="s">
        <v>24</v>
      </c>
      <c r="C4" t="s">
        <v>25</v>
      </c>
      <c r="D4" t="s">
        <v>20</v>
      </c>
      <c r="E4">
        <v>88</v>
      </c>
      <c r="F4">
        <v>86</v>
      </c>
      <c r="G4" s="2">
        <v>45503</v>
      </c>
      <c r="H4" t="s">
        <v>26</v>
      </c>
      <c r="I4" t="s">
        <v>15</v>
      </c>
      <c r="J4" t="s">
        <v>16</v>
      </c>
    </row>
    <row r="5" spans="1:13" x14ac:dyDescent="0.3">
      <c r="A5" t="s">
        <v>27</v>
      </c>
      <c r="B5" t="s">
        <v>28</v>
      </c>
      <c r="C5" t="s">
        <v>25</v>
      </c>
      <c r="D5" t="s">
        <v>29</v>
      </c>
      <c r="E5">
        <v>94</v>
      </c>
      <c r="G5" s="2">
        <v>45304</v>
      </c>
      <c r="H5" t="s">
        <v>26</v>
      </c>
      <c r="I5" t="s">
        <v>30</v>
      </c>
      <c r="J5" t="s">
        <v>16</v>
      </c>
    </row>
    <row r="6" spans="1:13" x14ac:dyDescent="0.3">
      <c r="A6" t="s">
        <v>31</v>
      </c>
      <c r="B6" t="s">
        <v>32</v>
      </c>
      <c r="C6" t="s">
        <v>12</v>
      </c>
      <c r="D6" t="s">
        <v>33</v>
      </c>
      <c r="E6">
        <v>55</v>
      </c>
      <c r="F6">
        <v>54</v>
      </c>
      <c r="G6" s="2">
        <v>45383</v>
      </c>
      <c r="H6" t="s">
        <v>21</v>
      </c>
      <c r="I6" t="s">
        <v>22</v>
      </c>
      <c r="J6" t="s">
        <v>34</v>
      </c>
    </row>
    <row r="7" spans="1:13" x14ac:dyDescent="0.3">
      <c r="A7" t="s">
        <v>35</v>
      </c>
      <c r="B7" t="s">
        <v>36</v>
      </c>
      <c r="C7" t="s">
        <v>12</v>
      </c>
      <c r="D7" t="s">
        <v>20</v>
      </c>
      <c r="E7">
        <v>50</v>
      </c>
      <c r="G7" s="2">
        <v>45462</v>
      </c>
      <c r="H7" t="s">
        <v>37</v>
      </c>
      <c r="I7" t="s">
        <v>38</v>
      </c>
      <c r="J7" t="s">
        <v>39</v>
      </c>
    </row>
    <row r="8" spans="1:13" x14ac:dyDescent="0.3">
      <c r="A8" t="s">
        <v>40</v>
      </c>
      <c r="B8" t="s">
        <v>41</v>
      </c>
      <c r="C8" t="s">
        <v>42</v>
      </c>
      <c r="D8" t="s">
        <v>13</v>
      </c>
      <c r="E8">
        <v>66</v>
      </c>
      <c r="F8">
        <v>63</v>
      </c>
      <c r="G8" s="2">
        <v>45502</v>
      </c>
      <c r="H8" t="s">
        <v>43</v>
      </c>
      <c r="I8" t="s">
        <v>38</v>
      </c>
      <c r="J8" t="s">
        <v>34</v>
      </c>
    </row>
    <row r="9" spans="1:13" x14ac:dyDescent="0.3">
      <c r="A9" t="s">
        <v>44</v>
      </c>
      <c r="B9" t="s">
        <v>45</v>
      </c>
      <c r="C9" t="s">
        <v>19</v>
      </c>
      <c r="D9" t="s">
        <v>29</v>
      </c>
      <c r="E9">
        <v>71</v>
      </c>
      <c r="F9">
        <v>82</v>
      </c>
      <c r="G9" s="2">
        <v>45419</v>
      </c>
      <c r="H9" t="s">
        <v>26</v>
      </c>
      <c r="I9" t="s">
        <v>46</v>
      </c>
      <c r="J9" t="s">
        <v>39</v>
      </c>
    </row>
    <row r="10" spans="1:13" x14ac:dyDescent="0.3">
      <c r="A10" t="s">
        <v>47</v>
      </c>
      <c r="B10" t="s">
        <v>48</v>
      </c>
      <c r="C10" t="s">
        <v>49</v>
      </c>
      <c r="D10" t="s">
        <v>29</v>
      </c>
      <c r="E10">
        <v>70</v>
      </c>
      <c r="F10">
        <v>66</v>
      </c>
      <c r="G10" s="2">
        <v>45428</v>
      </c>
      <c r="H10" t="s">
        <v>37</v>
      </c>
      <c r="I10" t="s">
        <v>30</v>
      </c>
      <c r="J10" t="s">
        <v>39</v>
      </c>
    </row>
    <row r="11" spans="1:13" x14ac:dyDescent="0.3">
      <c r="A11" t="s">
        <v>50</v>
      </c>
      <c r="B11" t="s">
        <v>51</v>
      </c>
      <c r="C11" t="s">
        <v>19</v>
      </c>
      <c r="D11" t="s">
        <v>52</v>
      </c>
      <c r="E11">
        <v>53</v>
      </c>
      <c r="F11">
        <v>58</v>
      </c>
      <c r="G11" s="2">
        <v>45373</v>
      </c>
      <c r="H11" t="s">
        <v>14</v>
      </c>
      <c r="I11" t="s">
        <v>22</v>
      </c>
      <c r="J11" t="s">
        <v>39</v>
      </c>
    </row>
    <row r="12" spans="1:13" x14ac:dyDescent="0.3">
      <c r="A12" t="s">
        <v>53</v>
      </c>
      <c r="C12" t="s">
        <v>25</v>
      </c>
      <c r="D12" t="s">
        <v>52</v>
      </c>
      <c r="E12">
        <v>95</v>
      </c>
      <c r="F12">
        <v>72</v>
      </c>
      <c r="G12" s="2">
        <v>45347</v>
      </c>
      <c r="H12" t="s">
        <v>26</v>
      </c>
      <c r="I12" t="s">
        <v>15</v>
      </c>
      <c r="J12" t="s">
        <v>39</v>
      </c>
    </row>
    <row r="13" spans="1:13" x14ac:dyDescent="0.3">
      <c r="A13" t="s">
        <v>54</v>
      </c>
      <c r="C13" t="s">
        <v>49</v>
      </c>
      <c r="D13" t="s">
        <v>33</v>
      </c>
      <c r="E13">
        <v>65</v>
      </c>
      <c r="F13">
        <v>54</v>
      </c>
      <c r="G13" s="2">
        <v>45487</v>
      </c>
      <c r="H13" t="s">
        <v>14</v>
      </c>
      <c r="I13" t="s">
        <v>15</v>
      </c>
      <c r="J13" t="s">
        <v>39</v>
      </c>
    </row>
    <row r="14" spans="1:13" x14ac:dyDescent="0.3">
      <c r="A14" t="s">
        <v>55</v>
      </c>
      <c r="B14" t="s">
        <v>56</v>
      </c>
      <c r="C14" t="s">
        <v>19</v>
      </c>
      <c r="D14" t="s">
        <v>29</v>
      </c>
      <c r="E14">
        <v>97</v>
      </c>
      <c r="F14">
        <v>65</v>
      </c>
      <c r="G14" s="2">
        <v>45311</v>
      </c>
      <c r="H14" t="s">
        <v>37</v>
      </c>
      <c r="I14" t="s">
        <v>15</v>
      </c>
      <c r="J14" t="s">
        <v>16</v>
      </c>
    </row>
    <row r="15" spans="1:13" x14ac:dyDescent="0.3">
      <c r="A15" t="s">
        <v>57</v>
      </c>
      <c r="B15" t="s">
        <v>58</v>
      </c>
      <c r="C15" t="s">
        <v>19</v>
      </c>
      <c r="D15" t="s">
        <v>13</v>
      </c>
      <c r="E15">
        <v>43</v>
      </c>
      <c r="F15">
        <v>73</v>
      </c>
      <c r="G15" s="2">
        <v>45532</v>
      </c>
      <c r="H15" t="s">
        <v>21</v>
      </c>
      <c r="I15" t="s">
        <v>15</v>
      </c>
      <c r="J15" t="s">
        <v>34</v>
      </c>
    </row>
    <row r="16" spans="1:13" x14ac:dyDescent="0.3">
      <c r="A16" t="s">
        <v>59</v>
      </c>
      <c r="B16" t="s">
        <v>60</v>
      </c>
      <c r="C16" t="s">
        <v>12</v>
      </c>
      <c r="D16" t="s">
        <v>52</v>
      </c>
      <c r="E16">
        <v>50</v>
      </c>
      <c r="F16">
        <v>68</v>
      </c>
      <c r="G16" s="2">
        <v>45405</v>
      </c>
      <c r="H16" t="s">
        <v>14</v>
      </c>
      <c r="I16" t="s">
        <v>30</v>
      </c>
      <c r="J16" t="s">
        <v>39</v>
      </c>
    </row>
    <row r="17" spans="1:10" x14ac:dyDescent="0.3">
      <c r="A17" t="s">
        <v>61</v>
      </c>
      <c r="B17" t="s">
        <v>62</v>
      </c>
      <c r="C17" t="s">
        <v>49</v>
      </c>
      <c r="D17" t="s">
        <v>52</v>
      </c>
      <c r="E17">
        <v>64</v>
      </c>
      <c r="F17">
        <v>60</v>
      </c>
      <c r="G17" s="2">
        <v>45394</v>
      </c>
      <c r="H17" t="s">
        <v>26</v>
      </c>
      <c r="I17" t="s">
        <v>38</v>
      </c>
      <c r="J17" t="s">
        <v>39</v>
      </c>
    </row>
    <row r="18" spans="1:10" x14ac:dyDescent="0.3">
      <c r="A18" t="s">
        <v>63</v>
      </c>
      <c r="B18" t="s">
        <v>64</v>
      </c>
      <c r="C18" t="s">
        <v>25</v>
      </c>
      <c r="D18" t="s">
        <v>33</v>
      </c>
      <c r="E18">
        <v>40</v>
      </c>
      <c r="F18">
        <v>78</v>
      </c>
      <c r="G18" s="2">
        <v>45527</v>
      </c>
      <c r="H18" t="s">
        <v>14</v>
      </c>
      <c r="I18" t="s">
        <v>38</v>
      </c>
      <c r="J18" t="s">
        <v>16</v>
      </c>
    </row>
    <row r="19" spans="1:10" x14ac:dyDescent="0.3">
      <c r="A19" t="s">
        <v>65</v>
      </c>
      <c r="B19" t="s">
        <v>66</v>
      </c>
      <c r="C19" t="s">
        <v>49</v>
      </c>
      <c r="D19" t="s">
        <v>20</v>
      </c>
      <c r="E19">
        <v>64</v>
      </c>
      <c r="F19">
        <v>84</v>
      </c>
      <c r="G19" s="2">
        <v>45471</v>
      </c>
      <c r="H19" t="s">
        <v>14</v>
      </c>
      <c r="I19" t="s">
        <v>38</v>
      </c>
      <c r="J19" t="s">
        <v>34</v>
      </c>
    </row>
    <row r="20" spans="1:10" x14ac:dyDescent="0.3">
      <c r="A20" t="s">
        <v>67</v>
      </c>
      <c r="B20" t="s">
        <v>68</v>
      </c>
      <c r="C20" t="s">
        <v>42</v>
      </c>
      <c r="D20" t="s">
        <v>20</v>
      </c>
      <c r="E20">
        <v>56</v>
      </c>
      <c r="F20">
        <v>95</v>
      </c>
      <c r="G20" s="2">
        <v>45448</v>
      </c>
      <c r="H20" t="s">
        <v>26</v>
      </c>
      <c r="I20" t="s">
        <v>38</v>
      </c>
      <c r="J20" t="s">
        <v>34</v>
      </c>
    </row>
    <row r="21" spans="1:10" x14ac:dyDescent="0.3">
      <c r="A21" t="s">
        <v>69</v>
      </c>
      <c r="B21" t="s">
        <v>70</v>
      </c>
      <c r="C21" t="s">
        <v>19</v>
      </c>
      <c r="D21" t="s">
        <v>13</v>
      </c>
      <c r="E21">
        <v>99</v>
      </c>
      <c r="F21">
        <v>69</v>
      </c>
      <c r="G21" s="2">
        <v>45408</v>
      </c>
      <c r="H21" t="s">
        <v>37</v>
      </c>
      <c r="I21" t="s">
        <v>15</v>
      </c>
      <c r="J21" t="s">
        <v>16</v>
      </c>
    </row>
    <row r="22" spans="1:10" x14ac:dyDescent="0.3">
      <c r="A22" t="s">
        <v>71</v>
      </c>
      <c r="B22" t="s">
        <v>72</v>
      </c>
      <c r="C22" t="s">
        <v>42</v>
      </c>
      <c r="D22" t="s">
        <v>20</v>
      </c>
      <c r="E22">
        <v>90</v>
      </c>
      <c r="F22">
        <v>89</v>
      </c>
      <c r="G22" s="2">
        <v>45406</v>
      </c>
      <c r="H22" t="s">
        <v>26</v>
      </c>
      <c r="I22" t="s">
        <v>46</v>
      </c>
      <c r="J22" t="s">
        <v>39</v>
      </c>
    </row>
    <row r="23" spans="1:10" x14ac:dyDescent="0.3">
      <c r="A23" t="s">
        <v>73</v>
      </c>
      <c r="B23" t="s">
        <v>74</v>
      </c>
      <c r="C23" t="s">
        <v>12</v>
      </c>
      <c r="D23" t="s">
        <v>29</v>
      </c>
      <c r="E23">
        <v>90</v>
      </c>
      <c r="F23">
        <v>91</v>
      </c>
      <c r="G23" s="2">
        <v>45304</v>
      </c>
      <c r="H23" t="s">
        <v>43</v>
      </c>
      <c r="I23" t="s">
        <v>22</v>
      </c>
      <c r="J23" t="s">
        <v>39</v>
      </c>
    </row>
    <row r="24" spans="1:10" x14ac:dyDescent="0.3">
      <c r="A24" t="s">
        <v>75</v>
      </c>
      <c r="B24" t="s">
        <v>76</v>
      </c>
      <c r="C24" t="s">
        <v>25</v>
      </c>
      <c r="D24" t="s">
        <v>20</v>
      </c>
      <c r="E24">
        <v>69</v>
      </c>
      <c r="F24">
        <v>83</v>
      </c>
      <c r="G24" s="2">
        <v>45390</v>
      </c>
      <c r="H24" t="s">
        <v>37</v>
      </c>
      <c r="I24" t="s">
        <v>15</v>
      </c>
      <c r="J24" t="s">
        <v>39</v>
      </c>
    </row>
    <row r="25" spans="1:10" x14ac:dyDescent="0.3">
      <c r="A25" t="s">
        <v>77</v>
      </c>
      <c r="B25" t="s">
        <v>78</v>
      </c>
      <c r="C25" t="s">
        <v>19</v>
      </c>
      <c r="D25" t="s">
        <v>29</v>
      </c>
      <c r="E25">
        <v>58</v>
      </c>
      <c r="F25">
        <v>50</v>
      </c>
      <c r="G25" s="2">
        <v>45496</v>
      </c>
      <c r="H25" t="s">
        <v>26</v>
      </c>
      <c r="I25" t="s">
        <v>15</v>
      </c>
      <c r="J25" t="s">
        <v>39</v>
      </c>
    </row>
    <row r="26" spans="1:10" x14ac:dyDescent="0.3">
      <c r="A26" t="s">
        <v>79</v>
      </c>
      <c r="B26" t="s">
        <v>80</v>
      </c>
      <c r="C26" t="s">
        <v>42</v>
      </c>
      <c r="D26" t="s">
        <v>13</v>
      </c>
      <c r="E26">
        <v>67</v>
      </c>
      <c r="F26">
        <v>92</v>
      </c>
      <c r="G26" s="2">
        <v>45460</v>
      </c>
      <c r="H26" t="s">
        <v>21</v>
      </c>
      <c r="I26" t="s">
        <v>38</v>
      </c>
      <c r="J26" t="s">
        <v>39</v>
      </c>
    </row>
    <row r="27" spans="1:10" x14ac:dyDescent="0.3">
      <c r="A27" t="s">
        <v>81</v>
      </c>
      <c r="B27" t="s">
        <v>82</v>
      </c>
      <c r="C27" t="s">
        <v>25</v>
      </c>
      <c r="D27" t="s">
        <v>33</v>
      </c>
      <c r="E27">
        <v>84</v>
      </c>
      <c r="F27">
        <v>85</v>
      </c>
      <c r="G27" s="2">
        <v>45434</v>
      </c>
      <c r="H27" t="s">
        <v>43</v>
      </c>
      <c r="I27" t="s">
        <v>15</v>
      </c>
      <c r="J27" t="s">
        <v>39</v>
      </c>
    </row>
    <row r="28" spans="1:10" x14ac:dyDescent="0.3">
      <c r="A28" t="s">
        <v>83</v>
      </c>
      <c r="B28" t="s">
        <v>84</v>
      </c>
      <c r="C28" t="s">
        <v>19</v>
      </c>
      <c r="D28" t="s">
        <v>13</v>
      </c>
      <c r="E28">
        <v>86</v>
      </c>
      <c r="F28">
        <v>69</v>
      </c>
      <c r="G28" s="2">
        <v>45327</v>
      </c>
      <c r="H28" t="s">
        <v>37</v>
      </c>
      <c r="I28" t="s">
        <v>15</v>
      </c>
      <c r="J28" t="s">
        <v>16</v>
      </c>
    </row>
    <row r="29" spans="1:10" x14ac:dyDescent="0.3">
      <c r="A29" t="s">
        <v>85</v>
      </c>
      <c r="B29" t="s">
        <v>86</v>
      </c>
      <c r="C29" t="s">
        <v>19</v>
      </c>
      <c r="D29" t="s">
        <v>52</v>
      </c>
      <c r="E29">
        <v>90</v>
      </c>
      <c r="F29">
        <v>92</v>
      </c>
      <c r="G29" s="2">
        <v>45434</v>
      </c>
      <c r="H29" t="s">
        <v>43</v>
      </c>
      <c r="I29" t="s">
        <v>38</v>
      </c>
      <c r="J29" t="s">
        <v>39</v>
      </c>
    </row>
    <row r="30" spans="1:10" x14ac:dyDescent="0.3">
      <c r="A30" t="s">
        <v>87</v>
      </c>
      <c r="B30" t="s">
        <v>88</v>
      </c>
      <c r="C30" t="s">
        <v>42</v>
      </c>
      <c r="D30" t="s">
        <v>52</v>
      </c>
      <c r="E30">
        <v>75</v>
      </c>
      <c r="F30">
        <v>56</v>
      </c>
      <c r="G30" s="2">
        <v>45471</v>
      </c>
      <c r="H30" t="s">
        <v>14</v>
      </c>
      <c r="I30" t="s">
        <v>30</v>
      </c>
      <c r="J3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995B-8E5F-4ACD-88F1-E78FACF7278B}">
  <dimension ref="A1:E30"/>
  <sheetViews>
    <sheetView workbookViewId="0">
      <selection activeCell="P5" sqref="P5"/>
    </sheetView>
  </sheetViews>
  <sheetFormatPr defaultRowHeight="14.4" x14ac:dyDescent="0.3"/>
  <sheetData>
    <row r="1" spans="1:5" x14ac:dyDescent="0.3">
      <c r="A1" s="1" t="s">
        <v>8</v>
      </c>
      <c r="B1" t="s">
        <v>111</v>
      </c>
      <c r="C1" t="s">
        <v>114</v>
      </c>
    </row>
    <row r="2" spans="1:5" x14ac:dyDescent="0.3">
      <c r="A2" t="s">
        <v>15</v>
      </c>
      <c r="B2" t="s">
        <v>112</v>
      </c>
      <c r="C2">
        <v>20</v>
      </c>
      <c r="E2" t="str">
        <f>_xlfn.CONCAT(A2,"@gmail.com")</f>
        <v>Rahul@gmail.com</v>
      </c>
    </row>
    <row r="3" spans="1:5" x14ac:dyDescent="0.3">
      <c r="A3" t="s">
        <v>22</v>
      </c>
      <c r="B3" t="s">
        <v>113</v>
      </c>
      <c r="C3">
        <v>33</v>
      </c>
    </row>
    <row r="4" spans="1:5" x14ac:dyDescent="0.3">
      <c r="A4" t="s">
        <v>15</v>
      </c>
      <c r="B4" t="s">
        <v>113</v>
      </c>
    </row>
    <row r="5" spans="1:5" x14ac:dyDescent="0.3">
      <c r="A5" t="s">
        <v>30</v>
      </c>
      <c r="B5" s="5"/>
    </row>
    <row r="6" spans="1:5" x14ac:dyDescent="0.3">
      <c r="A6" t="s">
        <v>22</v>
      </c>
    </row>
    <row r="7" spans="1:5" x14ac:dyDescent="0.3">
      <c r="A7" t="s">
        <v>38</v>
      </c>
    </row>
    <row r="8" spans="1:5" x14ac:dyDescent="0.3">
      <c r="A8" t="s">
        <v>38</v>
      </c>
    </row>
    <row r="9" spans="1:5" x14ac:dyDescent="0.3">
      <c r="A9" t="s">
        <v>46</v>
      </c>
    </row>
    <row r="10" spans="1:5" x14ac:dyDescent="0.3">
      <c r="A10" t="s">
        <v>30</v>
      </c>
    </row>
    <row r="11" spans="1:5" x14ac:dyDescent="0.3">
      <c r="A11" t="s">
        <v>22</v>
      </c>
    </row>
    <row r="12" spans="1:5" x14ac:dyDescent="0.3">
      <c r="A12" t="s">
        <v>15</v>
      </c>
    </row>
    <row r="13" spans="1:5" x14ac:dyDescent="0.3">
      <c r="A13" t="s">
        <v>15</v>
      </c>
    </row>
    <row r="14" spans="1:5" x14ac:dyDescent="0.3">
      <c r="A14" t="s">
        <v>15</v>
      </c>
    </row>
    <row r="15" spans="1:5" x14ac:dyDescent="0.3">
      <c r="A15" t="s">
        <v>15</v>
      </c>
    </row>
    <row r="16" spans="1:5" x14ac:dyDescent="0.3">
      <c r="A16" t="s">
        <v>30</v>
      </c>
    </row>
    <row r="17" spans="1:1" x14ac:dyDescent="0.3">
      <c r="A17" t="s">
        <v>38</v>
      </c>
    </row>
    <row r="18" spans="1:1" x14ac:dyDescent="0.3">
      <c r="A18" t="s">
        <v>38</v>
      </c>
    </row>
    <row r="19" spans="1:1" x14ac:dyDescent="0.3">
      <c r="A19" t="s">
        <v>38</v>
      </c>
    </row>
    <row r="20" spans="1:1" x14ac:dyDescent="0.3">
      <c r="A20" t="s">
        <v>38</v>
      </c>
    </row>
    <row r="21" spans="1:1" x14ac:dyDescent="0.3">
      <c r="A21" t="s">
        <v>15</v>
      </c>
    </row>
    <row r="22" spans="1:1" x14ac:dyDescent="0.3">
      <c r="A22" t="s">
        <v>46</v>
      </c>
    </row>
    <row r="23" spans="1:1" x14ac:dyDescent="0.3">
      <c r="A23" t="s">
        <v>22</v>
      </c>
    </row>
    <row r="24" spans="1:1" x14ac:dyDescent="0.3">
      <c r="A24" t="s">
        <v>15</v>
      </c>
    </row>
    <row r="25" spans="1:1" x14ac:dyDescent="0.3">
      <c r="A25" t="s">
        <v>15</v>
      </c>
    </row>
    <row r="26" spans="1:1" x14ac:dyDescent="0.3">
      <c r="A26" t="s">
        <v>38</v>
      </c>
    </row>
    <row r="27" spans="1:1" x14ac:dyDescent="0.3">
      <c r="A27" t="s">
        <v>15</v>
      </c>
    </row>
    <row r="28" spans="1:1" x14ac:dyDescent="0.3">
      <c r="A28" t="s">
        <v>15</v>
      </c>
    </row>
    <row r="29" spans="1:1" x14ac:dyDescent="0.3">
      <c r="A29" t="s">
        <v>38</v>
      </c>
    </row>
    <row r="30" spans="1:1" x14ac:dyDescent="0.3">
      <c r="A30" t="s">
        <v>30</v>
      </c>
    </row>
  </sheetData>
  <dataValidations count="2">
    <dataValidation type="list" allowBlank="1" showInputMessage="1" showErrorMessage="1" errorTitle="error" error="invalid" promptTitle="course" prompt="enter present course" sqref="B1:B1048576" xr:uid="{B5F808DA-1187-4DAF-B2A1-2BDB0843E0FD}">
      <formula1>"data analysis, python, webdesign, excel, AI_ML"</formula1>
    </dataValidation>
    <dataValidation type="whole" operator="greaterThanOrEqual" allowBlank="1" showInputMessage="1" showErrorMessage="1" errorTitle="error" error="invalid marks" promptTitle="marks" prompt="enter your marks" sqref="C1:C1048576" xr:uid="{89506EF2-3299-49D9-9061-5A8C1D4A45A0}">
      <formula1>20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50E9-91B7-4232-904F-DB5642041263}">
  <dimension ref="A1:D4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115</v>
      </c>
      <c r="B1" t="s">
        <v>119</v>
      </c>
      <c r="C1" t="s">
        <v>120</v>
      </c>
      <c r="D1" t="s">
        <v>121</v>
      </c>
    </row>
    <row r="2" spans="1:4" x14ac:dyDescent="0.3">
      <c r="A2" t="s">
        <v>116</v>
      </c>
      <c r="B2">
        <v>10</v>
      </c>
      <c r="C2">
        <v>120</v>
      </c>
      <c r="D2">
        <f>B2*C2</f>
        <v>1200</v>
      </c>
    </row>
    <row r="3" spans="1:4" x14ac:dyDescent="0.3">
      <c r="A3" t="s">
        <v>117</v>
      </c>
      <c r="B3">
        <v>12</v>
      </c>
      <c r="C3">
        <v>110</v>
      </c>
      <c r="D3">
        <f t="shared" ref="D3:D4" si="0">B3*C3</f>
        <v>1320</v>
      </c>
    </row>
    <row r="4" spans="1:4" x14ac:dyDescent="0.3">
      <c r="A4" t="s">
        <v>118</v>
      </c>
      <c r="B4">
        <v>8</v>
      </c>
      <c r="C4">
        <v>98</v>
      </c>
      <c r="D4">
        <f t="shared" si="0"/>
        <v>784</v>
      </c>
    </row>
  </sheetData>
  <scenarios current="0" sqref="F3">
    <scenario name="high" locked="1" count="3" user="Keerthi M" comment="Created by Keerthi M on 30-07-2026">
      <inputCells r="C2" val="200"/>
      <inputCells r="C3" val="130"/>
      <inputCells r="C4" val="190"/>
    </scenario>
    <scenario name="normal" locked="1" count="3" user="Keerthi M" comment="Created by Keerthi M on 30-07-2026">
      <inputCells r="C2" val="120"/>
      <inputCells r="C3" val="110"/>
      <inputCells r="C4" val="98"/>
    </scenario>
    <scenario name="low" locked="1" count="3" user="Keerthi M" comment="Created by Keerthi M on 30-07-2026">
      <inputCells r="C2" val="80"/>
      <inputCells r="C3" val="90"/>
      <inputCells r="C4" val="50"/>
    </scenario>
  </scenario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73ED-57CF-442E-BE0F-3D27D9A0B70C}">
  <dimension ref="A1:B15"/>
  <sheetViews>
    <sheetView workbookViewId="0">
      <selection activeCell="E11" sqref="E11"/>
    </sheetView>
  </sheetViews>
  <sheetFormatPr defaultRowHeight="14.4" x14ac:dyDescent="0.3"/>
  <cols>
    <col min="1" max="1" width="16.5546875" bestFit="1" customWidth="1"/>
    <col min="2" max="2" width="12.6640625" bestFit="1" customWidth="1"/>
  </cols>
  <sheetData>
    <row r="1" spans="1:2" x14ac:dyDescent="0.3">
      <c r="A1" s="7" t="s">
        <v>122</v>
      </c>
      <c r="B1" s="7"/>
    </row>
    <row r="3" spans="1:2" x14ac:dyDescent="0.3">
      <c r="A3" t="s">
        <v>123</v>
      </c>
      <c r="B3">
        <v>71.482758620689651</v>
      </c>
    </row>
    <row r="4" spans="1:2" x14ac:dyDescent="0.3">
      <c r="A4" t="s">
        <v>124</v>
      </c>
      <c r="B4">
        <v>3.4350485220596769</v>
      </c>
    </row>
    <row r="5" spans="1:2" x14ac:dyDescent="0.3">
      <c r="A5" t="s">
        <v>125</v>
      </c>
      <c r="B5">
        <v>69</v>
      </c>
    </row>
    <row r="6" spans="1:2" x14ac:dyDescent="0.3">
      <c r="A6" t="s">
        <v>126</v>
      </c>
      <c r="B6">
        <v>90</v>
      </c>
    </row>
    <row r="7" spans="1:2" x14ac:dyDescent="0.3">
      <c r="A7" t="s">
        <v>127</v>
      </c>
      <c r="B7">
        <v>18.498302411795162</v>
      </c>
    </row>
    <row r="8" spans="1:2" x14ac:dyDescent="0.3">
      <c r="A8" t="s">
        <v>128</v>
      </c>
      <c r="B8">
        <v>342.18719211822673</v>
      </c>
    </row>
    <row r="9" spans="1:2" x14ac:dyDescent="0.3">
      <c r="A9" t="s">
        <v>129</v>
      </c>
      <c r="B9">
        <v>-1.2794532514635506</v>
      </c>
    </row>
    <row r="10" spans="1:2" x14ac:dyDescent="0.3">
      <c r="A10" t="s">
        <v>130</v>
      </c>
      <c r="B10">
        <v>1.6753576716215185E-3</v>
      </c>
    </row>
    <row r="11" spans="1:2" x14ac:dyDescent="0.3">
      <c r="A11" t="s">
        <v>131</v>
      </c>
      <c r="B11">
        <v>59</v>
      </c>
    </row>
    <row r="12" spans="1:2" x14ac:dyDescent="0.3">
      <c r="A12" t="s">
        <v>132</v>
      </c>
      <c r="B12">
        <v>40</v>
      </c>
    </row>
    <row r="13" spans="1:2" x14ac:dyDescent="0.3">
      <c r="A13" t="s">
        <v>133</v>
      </c>
      <c r="B13">
        <v>99</v>
      </c>
    </row>
    <row r="14" spans="1:2" x14ac:dyDescent="0.3">
      <c r="A14" t="s">
        <v>134</v>
      </c>
      <c r="B14">
        <v>2073</v>
      </c>
    </row>
    <row r="15" spans="1:2" ht="15" thickBot="1" x14ac:dyDescent="0.35">
      <c r="A15" s="6" t="s">
        <v>135</v>
      </c>
      <c r="B15" s="6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93A1-82F2-41A9-8685-00DCBD7B7AFA}">
  <dimension ref="A1:K7"/>
  <sheetViews>
    <sheetView zoomScale="129" workbookViewId="0">
      <selection activeCell="G11" sqref="G11"/>
    </sheetView>
  </sheetViews>
  <sheetFormatPr defaultRowHeight="14.4" x14ac:dyDescent="0.3"/>
  <cols>
    <col min="1" max="2" width="10.33203125" bestFit="1" customWidth="1"/>
    <col min="3" max="3" width="15.44140625" bestFit="1" customWidth="1"/>
  </cols>
  <sheetData>
    <row r="1" spans="1:11" x14ac:dyDescent="0.3">
      <c r="A1" s="8">
        <v>35822</v>
      </c>
      <c r="B1" s="10">
        <f ca="1">TODAY()</f>
        <v>46234</v>
      </c>
      <c r="C1" s="11">
        <f ca="1">NOW()</f>
        <v>46234.43684988426</v>
      </c>
      <c r="D1">
        <f>YEAR(A1)</f>
        <v>1998</v>
      </c>
      <c r="E1">
        <f>MONTH(A1)</f>
        <v>1</v>
      </c>
      <c r="F1">
        <f>WEEKDAY(A1,1)</f>
        <v>3</v>
      </c>
      <c r="G1" t="str">
        <f>TEXT(A1,"mm")</f>
        <v>01</v>
      </c>
      <c r="H1" t="str">
        <f>TEXT(A1,"yy")</f>
        <v>98</v>
      </c>
      <c r="I1" t="str">
        <f>TEXT(A1,"dd")</f>
        <v>27</v>
      </c>
      <c r="J1">
        <f ca="1">DATEDIF(A1,TODAY(),"y")</f>
        <v>28</v>
      </c>
      <c r="K1">
        <f ca="1">DATEDIF(A1,B1,"ym")</f>
        <v>6</v>
      </c>
    </row>
    <row r="2" spans="1:11" x14ac:dyDescent="0.3">
      <c r="A2" s="9">
        <v>36564</v>
      </c>
      <c r="D2">
        <f t="shared" ref="D2:D7" si="0">YEAR(A2)</f>
        <v>2000</v>
      </c>
      <c r="E2">
        <f t="shared" ref="E2:E7" si="1">MONTH(A2)</f>
        <v>2</v>
      </c>
      <c r="F2">
        <f t="shared" ref="F2:F7" si="2">WEEKDAY(A2,1)</f>
        <v>3</v>
      </c>
      <c r="G2" t="str">
        <f t="shared" ref="G2:G7" si="3">TEXT(A2,"mm")</f>
        <v>02</v>
      </c>
      <c r="H2" t="str">
        <f t="shared" ref="H2:H7" si="4">TEXT(A2,"yy")</f>
        <v>00</v>
      </c>
      <c r="I2" t="str">
        <f t="shared" ref="I2:I7" si="5">TEXT(A2,"dd")</f>
        <v>08</v>
      </c>
      <c r="J2">
        <f t="shared" ref="J2:J7" ca="1" si="6">DATEDIF(A2,TODAY(),"y")</f>
        <v>26</v>
      </c>
      <c r="K2">
        <f ca="1">DATEDIF(A2,B1,"ym")</f>
        <v>5</v>
      </c>
    </row>
    <row r="3" spans="1:11" x14ac:dyDescent="0.3">
      <c r="A3" s="8">
        <v>43676</v>
      </c>
      <c r="D3">
        <f t="shared" si="0"/>
        <v>2019</v>
      </c>
      <c r="E3">
        <f t="shared" si="1"/>
        <v>7</v>
      </c>
      <c r="F3">
        <f t="shared" si="2"/>
        <v>3</v>
      </c>
      <c r="G3" t="str">
        <f t="shared" si="3"/>
        <v>07</v>
      </c>
      <c r="H3" t="str">
        <f t="shared" si="4"/>
        <v>19</v>
      </c>
      <c r="I3" t="str">
        <f t="shared" si="5"/>
        <v>30</v>
      </c>
      <c r="J3">
        <f t="shared" ca="1" si="6"/>
        <v>7</v>
      </c>
    </row>
    <row r="4" spans="1:11" x14ac:dyDescent="0.3">
      <c r="A4" s="9">
        <v>32281</v>
      </c>
      <c r="D4">
        <f t="shared" si="0"/>
        <v>1988</v>
      </c>
      <c r="E4">
        <f t="shared" si="1"/>
        <v>5</v>
      </c>
      <c r="F4">
        <f t="shared" si="2"/>
        <v>4</v>
      </c>
      <c r="G4" t="str">
        <f t="shared" si="3"/>
        <v>05</v>
      </c>
      <c r="H4" t="str">
        <f t="shared" si="4"/>
        <v>88</v>
      </c>
      <c r="I4" t="str">
        <f t="shared" si="5"/>
        <v>18</v>
      </c>
      <c r="J4">
        <f t="shared" ca="1" si="6"/>
        <v>38</v>
      </c>
    </row>
    <row r="5" spans="1:11" x14ac:dyDescent="0.3">
      <c r="A5" s="8">
        <v>37560</v>
      </c>
      <c r="D5">
        <f t="shared" si="0"/>
        <v>2002</v>
      </c>
      <c r="E5">
        <f t="shared" si="1"/>
        <v>10</v>
      </c>
      <c r="F5">
        <f t="shared" si="2"/>
        <v>5</v>
      </c>
      <c r="G5" t="str">
        <f t="shared" si="3"/>
        <v>10</v>
      </c>
      <c r="H5" t="str">
        <f t="shared" si="4"/>
        <v>02</v>
      </c>
      <c r="I5" t="str">
        <f t="shared" si="5"/>
        <v>31</v>
      </c>
      <c r="J5">
        <f t="shared" ca="1" si="6"/>
        <v>23</v>
      </c>
    </row>
    <row r="6" spans="1:11" x14ac:dyDescent="0.3">
      <c r="A6" s="9">
        <v>28701</v>
      </c>
      <c r="D6">
        <f t="shared" si="0"/>
        <v>1978</v>
      </c>
      <c r="E6">
        <f t="shared" si="1"/>
        <v>7</v>
      </c>
      <c r="F6">
        <f t="shared" si="2"/>
        <v>1</v>
      </c>
      <c r="G6" t="str">
        <f t="shared" si="3"/>
        <v>07</v>
      </c>
      <c r="H6" t="str">
        <f t="shared" si="4"/>
        <v>78</v>
      </c>
      <c r="I6" t="str">
        <f t="shared" si="5"/>
        <v>30</v>
      </c>
      <c r="J6">
        <f t="shared" ca="1" si="6"/>
        <v>48</v>
      </c>
    </row>
    <row r="7" spans="1:11" x14ac:dyDescent="0.3">
      <c r="A7" s="8">
        <v>38311</v>
      </c>
      <c r="D7">
        <f t="shared" si="0"/>
        <v>2004</v>
      </c>
      <c r="E7">
        <f t="shared" si="1"/>
        <v>11</v>
      </c>
      <c r="F7">
        <f t="shared" si="2"/>
        <v>7</v>
      </c>
      <c r="G7" t="str">
        <f t="shared" si="3"/>
        <v>11</v>
      </c>
      <c r="H7" t="str">
        <f t="shared" si="4"/>
        <v>04</v>
      </c>
      <c r="I7" t="str">
        <f t="shared" si="5"/>
        <v>20</v>
      </c>
      <c r="J7">
        <f t="shared" ca="1" si="6"/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0827-D7D1-40FB-A33E-BBA4A608E0CD}">
  <dimension ref="A1:N14"/>
  <sheetViews>
    <sheetView tabSelected="1" zoomScale="128" workbookViewId="0">
      <selection activeCell="N4" sqref="N4"/>
    </sheetView>
  </sheetViews>
  <sheetFormatPr defaultRowHeight="14.4" x14ac:dyDescent="0.3"/>
  <cols>
    <col min="6" max="6" width="10.21875" bestFit="1" customWidth="1"/>
  </cols>
  <sheetData>
    <row r="1" spans="1:14" x14ac:dyDescent="0.3">
      <c r="A1" t="s">
        <v>136</v>
      </c>
      <c r="B1" t="s">
        <v>115</v>
      </c>
      <c r="C1" t="s">
        <v>137</v>
      </c>
      <c r="D1" t="s">
        <v>120</v>
      </c>
      <c r="E1" t="s">
        <v>138</v>
      </c>
      <c r="F1" t="s">
        <v>139</v>
      </c>
      <c r="I1" t="s">
        <v>159</v>
      </c>
      <c r="J1" t="s">
        <v>120</v>
      </c>
    </row>
    <row r="2" spans="1:14" x14ac:dyDescent="0.3">
      <c r="A2" t="s">
        <v>140</v>
      </c>
      <c r="B2" t="s">
        <v>141</v>
      </c>
      <c r="C2" t="s">
        <v>142</v>
      </c>
      <c r="D2">
        <v>55000</v>
      </c>
      <c r="E2">
        <v>18</v>
      </c>
      <c r="F2" t="s">
        <v>143</v>
      </c>
      <c r="I2" t="s">
        <v>140</v>
      </c>
      <c r="J2">
        <f>VLOOKUP(I2,A1:F7,4,FALSE)</f>
        <v>55000</v>
      </c>
      <c r="L2">
        <f>_xlfn.XLOOKUP(I2,A1:A7,D1:D7,"product not found",0)</f>
        <v>55000</v>
      </c>
    </row>
    <row r="3" spans="1:14" x14ac:dyDescent="0.3">
      <c r="A3" t="s">
        <v>144</v>
      </c>
      <c r="B3" t="s">
        <v>145</v>
      </c>
      <c r="C3" t="s">
        <v>146</v>
      </c>
      <c r="D3">
        <v>900</v>
      </c>
      <c r="E3">
        <v>120</v>
      </c>
      <c r="F3" t="s">
        <v>147</v>
      </c>
      <c r="I3" t="s">
        <v>144</v>
      </c>
      <c r="J3">
        <f t="shared" ref="J3:J7" si="0">VLOOKUP(I3,A2:F8,4,FALSE)</f>
        <v>900</v>
      </c>
      <c r="L3">
        <f t="shared" ref="L3:L7" si="1">_xlfn.XLOOKUP(I3,A2:A8,D2:D8,"product not found",0)</f>
        <v>900</v>
      </c>
    </row>
    <row r="4" spans="1:14" x14ac:dyDescent="0.3">
      <c r="A4" t="s">
        <v>148</v>
      </c>
      <c r="B4" t="s">
        <v>149</v>
      </c>
      <c r="C4" t="s">
        <v>146</v>
      </c>
      <c r="D4">
        <v>1800</v>
      </c>
      <c r="E4">
        <v>65</v>
      </c>
      <c r="F4" t="s">
        <v>143</v>
      </c>
      <c r="I4" t="s">
        <v>148</v>
      </c>
      <c r="J4">
        <f t="shared" si="0"/>
        <v>1800</v>
      </c>
      <c r="L4">
        <f t="shared" si="1"/>
        <v>1800</v>
      </c>
      <c r="N4" t="str">
        <f>INDEX(A2:A7,MATCH(A2,A2:A7,0))</f>
        <v>P101</v>
      </c>
    </row>
    <row r="5" spans="1:14" x14ac:dyDescent="0.3">
      <c r="A5" t="s">
        <v>150</v>
      </c>
      <c r="B5" t="s">
        <v>151</v>
      </c>
      <c r="C5" t="s">
        <v>152</v>
      </c>
      <c r="D5">
        <v>12500</v>
      </c>
      <c r="E5">
        <v>25</v>
      </c>
      <c r="F5" t="s">
        <v>153</v>
      </c>
      <c r="I5" t="s">
        <v>150</v>
      </c>
      <c r="J5">
        <f t="shared" si="0"/>
        <v>12500</v>
      </c>
      <c r="L5">
        <f t="shared" si="1"/>
        <v>12500</v>
      </c>
      <c r="N5">
        <f>INDEX(D2:D7,MATCH(A2,A2:A7,0))</f>
        <v>55000</v>
      </c>
    </row>
    <row r="6" spans="1:14" x14ac:dyDescent="0.3">
      <c r="A6" t="s">
        <v>154</v>
      </c>
      <c r="B6" t="s">
        <v>155</v>
      </c>
      <c r="C6" t="s">
        <v>156</v>
      </c>
      <c r="D6">
        <v>9800</v>
      </c>
      <c r="E6">
        <v>12</v>
      </c>
      <c r="F6" t="s">
        <v>147</v>
      </c>
      <c r="I6" t="s">
        <v>154</v>
      </c>
      <c r="J6">
        <f t="shared" si="0"/>
        <v>9800</v>
      </c>
      <c r="L6">
        <f t="shared" si="1"/>
        <v>9800</v>
      </c>
    </row>
    <row r="7" spans="1:14" x14ac:dyDescent="0.3">
      <c r="A7" t="s">
        <v>157</v>
      </c>
      <c r="B7" t="s">
        <v>158</v>
      </c>
      <c r="C7" t="s">
        <v>146</v>
      </c>
      <c r="D7">
        <v>2400</v>
      </c>
      <c r="E7">
        <v>45</v>
      </c>
      <c r="F7" t="s">
        <v>153</v>
      </c>
      <c r="I7" t="s">
        <v>157</v>
      </c>
      <c r="J7">
        <f t="shared" si="0"/>
        <v>2400</v>
      </c>
      <c r="L7">
        <f t="shared" si="1"/>
        <v>2400</v>
      </c>
    </row>
    <row r="10" spans="1:14" x14ac:dyDescent="0.3">
      <c r="A10" s="12" t="s">
        <v>160</v>
      </c>
      <c r="B10" s="13" t="s">
        <v>140</v>
      </c>
      <c r="C10" s="13" t="s">
        <v>144</v>
      </c>
      <c r="D10" s="13" t="s">
        <v>148</v>
      </c>
      <c r="E10" s="13" t="s">
        <v>150</v>
      </c>
      <c r="F10" s="14" t="s">
        <v>154</v>
      </c>
      <c r="I10" s="18" t="s">
        <v>162</v>
      </c>
      <c r="J10">
        <f>HLOOKUP(I10,A10:F11,2,FALSE)</f>
        <v>55000</v>
      </c>
    </row>
    <row r="11" spans="1:14" x14ac:dyDescent="0.3">
      <c r="A11" s="15" t="s">
        <v>161</v>
      </c>
      <c r="B11" s="16">
        <v>55000</v>
      </c>
      <c r="C11" s="16">
        <v>900</v>
      </c>
      <c r="D11" s="16">
        <v>1800</v>
      </c>
      <c r="E11" s="16">
        <v>12500</v>
      </c>
      <c r="F11" s="17">
        <v>9800</v>
      </c>
      <c r="I11" t="s">
        <v>163</v>
      </c>
      <c r="J11">
        <f>HLOOKUP(I11,A10:F11,2,FALSE)</f>
        <v>900</v>
      </c>
      <c r="M11" t="str">
        <f>INDEX(A2:A7,2)</f>
        <v>P102</v>
      </c>
      <c r="N11">
        <f>MATCH(A2,A2:A7,0)</f>
        <v>1</v>
      </c>
    </row>
    <row r="12" spans="1:14" x14ac:dyDescent="0.3">
      <c r="I12" t="s">
        <v>164</v>
      </c>
      <c r="N12">
        <f>MATCH(D5,D2:D7,0)</f>
        <v>4</v>
      </c>
    </row>
    <row r="13" spans="1:14" x14ac:dyDescent="0.3">
      <c r="I13" t="s">
        <v>165</v>
      </c>
    </row>
    <row r="14" spans="1:14" x14ac:dyDescent="0.3">
      <c r="I14" t="s">
        <v>166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30A867-DA2D-4FB5-921F-4AECDBAE62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2015-06-05T18:17:20Z</dcterms:created>
  <dcterms:modified xsi:type="dcterms:W3CDTF">2026-07-31T04:59:40Z</dcterms:modified>
</cp:coreProperties>
</file>